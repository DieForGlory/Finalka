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ЭтаКнига"/>
  <mc:AlternateContent xmlns:mc="http://schemas.openxmlformats.org/markup-compatibility/2006">
    <mc:Choice Requires="x15">
      <x15ac:absPath xmlns:x15ac="http://schemas.microsoft.com/office/spreadsheetml/2010/11/ac" url="C:\Users\d.plakhotnyi\Downloads\Telegram Desktop\"/>
    </mc:Choice>
  </mc:AlternateContent>
  <xr:revisionPtr revIDLastSave="0" documentId="8_{CC6DC773-A87F-49E0-9750-66B809FFD261}" xr6:coauthVersionLast="47" xr6:coauthVersionMax="47" xr10:uidLastSave="{00000000-0000-0000-0000-000000000000}"/>
  <bookViews>
    <workbookView xWindow="-120" yWindow="-120" windowWidth="29040" windowHeight="15840" activeTab="1" xr2:uid="{00000000-000D-0000-FFFF-FFFF00000000}"/>
  </bookViews>
  <sheets>
    <sheet name="СВОД" sheetId="6" r:id="rId1"/>
    <sheet name="МП" sheetId="5" r:id="rId2"/>
  </sheets>
  <definedNames>
    <definedName name="_xlnm._FilterDatabase" localSheetId="1" hidden="1">МП!$A$15:$EV$22</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xml:space="preserve">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5" l="1" a="1"/>
  <c r="F6" i="5" s="1"/>
  <c r="X12" i="5"/>
  <c r="AZ17" i="5" l="1" a="1"/>
  <c r="AZ17" i="5" s="1"/>
  <c r="BA17" i="5" a="1"/>
  <c r="BA17" i="5" s="1"/>
  <c r="BB17" i="5" a="1"/>
  <c r="BB17" i="5" s="1"/>
  <c r="BC17" i="5" a="1"/>
  <c r="BC17" i="5" s="1"/>
  <c r="BD17" i="5" a="1"/>
  <c r="BD17" i="5" s="1"/>
  <c r="BE17" i="5" a="1"/>
  <c r="BE17" i="5" s="1"/>
  <c r="BF17" i="5" a="1"/>
  <c r="BF17" i="5" s="1"/>
  <c r="BG17" i="5" a="1"/>
  <c r="BG17" i="5" s="1"/>
  <c r="BH17" i="5" a="1"/>
  <c r="BH17" i="5" s="1"/>
  <c r="BI17" i="5" a="1"/>
  <c r="BI17" i="5" s="1"/>
  <c r="BJ17" i="5" a="1"/>
  <c r="BJ17" i="5" s="1"/>
  <c r="BK17" i="5" a="1"/>
  <c r="BK17" i="5" s="1"/>
  <c r="AZ18" i="5" a="1"/>
  <c r="AZ18" i="5" s="1"/>
  <c r="BA18" i="5" a="1"/>
  <c r="BA18" i="5" s="1"/>
  <c r="BB18" i="5" a="1"/>
  <c r="BB18" i="5" s="1"/>
  <c r="BC18" i="5" a="1"/>
  <c r="BC18" i="5" s="1"/>
  <c r="BD18" i="5" a="1"/>
  <c r="BD18" i="5" s="1"/>
  <c r="BE18" i="5" a="1"/>
  <c r="BE18" i="5" s="1"/>
  <c r="BF18" i="5" a="1"/>
  <c r="BF18" i="5" s="1"/>
  <c r="BG18" i="5" a="1"/>
  <c r="BG18" i="5" s="1"/>
  <c r="BH18" i="5" a="1"/>
  <c r="BH18" i="5" s="1"/>
  <c r="BI18" i="5" a="1"/>
  <c r="BI18" i="5" s="1"/>
  <c r="BJ18" i="5" a="1"/>
  <c r="BJ18" i="5" s="1"/>
  <c r="BK18" i="5" a="1"/>
  <c r="BK18" i="5" s="1"/>
  <c r="AZ19" i="5" a="1"/>
  <c r="AZ19" i="5" s="1"/>
  <c r="BA19" i="5" a="1"/>
  <c r="BA19" i="5" s="1"/>
  <c r="BB19" i="5" a="1"/>
  <c r="BB19" i="5" s="1"/>
  <c r="BC19" i="5" a="1"/>
  <c r="BC19" i="5" s="1"/>
  <c r="BD19" i="5" a="1"/>
  <c r="BD19" i="5" s="1"/>
  <c r="BE19" i="5" a="1"/>
  <c r="BE19" i="5" s="1"/>
  <c r="BF19" i="5" a="1"/>
  <c r="BF19" i="5" s="1"/>
  <c r="BG19" i="5" a="1"/>
  <c r="BG19" i="5" s="1"/>
  <c r="BH19" i="5" a="1"/>
  <c r="BH19" i="5" s="1"/>
  <c r="BI19" i="5" a="1"/>
  <c r="BI19" i="5" s="1"/>
  <c r="BJ19" i="5" a="1"/>
  <c r="BJ19" i="5" s="1"/>
  <c r="BK19" i="5" a="1"/>
  <c r="BK19" i="5" s="1"/>
  <c r="AZ20" i="5" a="1"/>
  <c r="AZ20" i="5" s="1"/>
  <c r="BA20" i="5" a="1"/>
  <c r="BA20" i="5" s="1"/>
  <c r="BB20" i="5" a="1"/>
  <c r="BB20" i="5" s="1"/>
  <c r="BC20" i="5" a="1"/>
  <c r="BC20" i="5" s="1"/>
  <c r="BD20" i="5" a="1"/>
  <c r="BD20" i="5" s="1"/>
  <c r="BE20" i="5" a="1"/>
  <c r="BE20" i="5" s="1"/>
  <c r="BF20" i="5" a="1"/>
  <c r="BF20" i="5" s="1"/>
  <c r="BG20" i="5" a="1"/>
  <c r="BG20" i="5"/>
  <c r="BH20" i="5" a="1"/>
  <c r="BH20" i="5" s="1"/>
  <c r="BI20" i="5" a="1"/>
  <c r="BI20" i="5" s="1"/>
  <c r="BJ20" i="5" a="1"/>
  <c r="BJ20" i="5" s="1"/>
  <c r="BK20" i="5" a="1"/>
  <c r="BK20" i="5" s="1"/>
  <c r="AZ21" i="5" a="1"/>
  <c r="AZ21" i="5" s="1"/>
  <c r="BA21" i="5" a="1"/>
  <c r="BA21" i="5" s="1"/>
  <c r="BB21" i="5" a="1"/>
  <c r="BB21" i="5" s="1"/>
  <c r="BC21" i="5" a="1"/>
  <c r="BC21" i="5" s="1"/>
  <c r="BD21" i="5" a="1"/>
  <c r="BD21" i="5" s="1"/>
  <c r="BE21" i="5" a="1"/>
  <c r="BE21" i="5" s="1"/>
  <c r="BF21" i="5" a="1"/>
  <c r="BF21" i="5" s="1"/>
  <c r="BG21" i="5" a="1"/>
  <c r="BG21" i="5" s="1"/>
  <c r="BH21" i="5" a="1"/>
  <c r="BH21" i="5" s="1"/>
  <c r="BI21" i="5" a="1"/>
  <c r="BI21" i="5" s="1"/>
  <c r="BJ21" i="5" a="1"/>
  <c r="BJ21" i="5" s="1"/>
  <c r="BK21" i="5" a="1"/>
  <c r="BK21" i="5" s="1"/>
  <c r="AZ22" i="5" a="1"/>
  <c r="AZ22" i="5" s="1"/>
  <c r="BA22" i="5" a="1"/>
  <c r="BA22" i="5" s="1"/>
  <c r="BB22" i="5" a="1"/>
  <c r="BB22" i="5" s="1"/>
  <c r="BC22" i="5" a="1"/>
  <c r="BC22" i="5" s="1"/>
  <c r="BD22" i="5" a="1"/>
  <c r="BD22" i="5" s="1"/>
  <c r="BE22" i="5" a="1"/>
  <c r="BE22" i="5" s="1"/>
  <c r="BF22" i="5" a="1"/>
  <c r="BF22" i="5" s="1"/>
  <c r="BG22" i="5" a="1"/>
  <c r="BG22" i="5" s="1"/>
  <c r="BH22" i="5" a="1"/>
  <c r="BH22" i="5" s="1"/>
  <c r="BI22" i="5" a="1"/>
  <c r="BI22" i="5" s="1"/>
  <c r="BJ22" i="5" a="1"/>
  <c r="BJ22" i="5" s="1"/>
  <c r="BK22" i="5" a="1"/>
  <c r="BK22" i="5"/>
  <c r="AZ23" i="5" a="1"/>
  <c r="AZ23" i="5" s="1"/>
  <c r="BA23" i="5" a="1"/>
  <c r="BA23" i="5" s="1"/>
  <c r="BB23" i="5" a="1"/>
  <c r="BB23" i="5" s="1"/>
  <c r="BC23" i="5" a="1"/>
  <c r="BC23" i="5" s="1"/>
  <c r="BD23" i="5" a="1"/>
  <c r="BD23" i="5" s="1"/>
  <c r="BE23" i="5" a="1"/>
  <c r="BE23" i="5" s="1"/>
  <c r="BF23" i="5" a="1"/>
  <c r="BF23" i="5" s="1"/>
  <c r="BG23" i="5" a="1"/>
  <c r="BG23" i="5" s="1"/>
  <c r="BH23" i="5" a="1"/>
  <c r="BH23" i="5" s="1"/>
  <c r="BI23" i="5" a="1"/>
  <c r="BI23" i="5" s="1"/>
  <c r="BJ23" i="5" a="1"/>
  <c r="BJ23" i="5" s="1"/>
  <c r="BK23" i="5" a="1"/>
  <c r="BK23" i="5" s="1"/>
  <c r="AZ24" i="5" a="1"/>
  <c r="AZ24" i="5" s="1"/>
  <c r="BA24" i="5" a="1"/>
  <c r="BA24" i="5" s="1"/>
  <c r="BB24" i="5" a="1"/>
  <c r="BB24" i="5" s="1"/>
  <c r="BC24" i="5" a="1"/>
  <c r="BC24" i="5"/>
  <c r="BD24" i="5" a="1"/>
  <c r="BD24" i="5" s="1"/>
  <c r="BE24" i="5" a="1"/>
  <c r="BE24" i="5" s="1"/>
  <c r="BF24" i="5" a="1"/>
  <c r="BF24" i="5" s="1"/>
  <c r="BG24" i="5" a="1"/>
  <c r="BG24" i="5" s="1"/>
  <c r="BH24" i="5" a="1"/>
  <c r="BH24" i="5" s="1"/>
  <c r="BI24" i="5" a="1"/>
  <c r="BI24" i="5" s="1"/>
  <c r="BJ24" i="5" a="1"/>
  <c r="BJ24" i="5" s="1"/>
  <c r="BK24" i="5" a="1"/>
  <c r="BK24" i="5" s="1"/>
  <c r="AZ25" i="5" a="1"/>
  <c r="AZ25" i="5" s="1"/>
  <c r="BA25" i="5" a="1"/>
  <c r="BA25" i="5" s="1"/>
  <c r="BB25" i="5" a="1"/>
  <c r="BB25" i="5" s="1"/>
  <c r="BC25" i="5" a="1"/>
  <c r="BC25" i="5"/>
  <c r="BD25" i="5" a="1"/>
  <c r="BD25" i="5" s="1"/>
  <c r="BE25" i="5" a="1"/>
  <c r="BE25" i="5" s="1"/>
  <c r="BF25" i="5" a="1"/>
  <c r="BF25" i="5" s="1"/>
  <c r="BG25" i="5" a="1"/>
  <c r="BG25" i="5" s="1"/>
  <c r="BH25" i="5" a="1"/>
  <c r="BH25" i="5" s="1"/>
  <c r="BI25" i="5" a="1"/>
  <c r="BI25" i="5" s="1"/>
  <c r="BJ25" i="5" a="1"/>
  <c r="BJ25" i="5" s="1"/>
  <c r="BK25" i="5" a="1"/>
  <c r="BK25" i="5"/>
  <c r="AZ26" i="5" a="1"/>
  <c r="AZ26" i="5" s="1"/>
  <c r="BA26" i="5" a="1"/>
  <c r="BA26" i="5" s="1"/>
  <c r="BB26" i="5" a="1"/>
  <c r="BB26" i="5" s="1"/>
  <c r="BC26" i="5" a="1"/>
  <c r="BC26" i="5" s="1"/>
  <c r="BD26" i="5" a="1"/>
  <c r="BD26" i="5" s="1"/>
  <c r="BE26" i="5" a="1"/>
  <c r="BE26" i="5" s="1"/>
  <c r="BF26" i="5" a="1"/>
  <c r="BF26" i="5" s="1"/>
  <c r="BG26" i="5" a="1"/>
  <c r="BG26" i="5"/>
  <c r="BH26" i="5" a="1"/>
  <c r="BH26" i="5" s="1"/>
  <c r="BI26" i="5" a="1"/>
  <c r="BI26" i="5" s="1"/>
  <c r="BJ26" i="5" a="1"/>
  <c r="BJ26" i="5" s="1"/>
  <c r="BK26" i="5" a="1"/>
  <c r="BK26" i="5"/>
  <c r="AZ27" i="5" a="1"/>
  <c r="AZ27" i="5" s="1"/>
  <c r="BA27" i="5" a="1"/>
  <c r="BA27" i="5" s="1"/>
  <c r="BB27" i="5" a="1"/>
  <c r="BB27" i="5" s="1"/>
  <c r="BC27" i="5" a="1"/>
  <c r="BC27" i="5" s="1"/>
  <c r="BD27" i="5" a="1"/>
  <c r="BD27" i="5" s="1"/>
  <c r="BE27" i="5" a="1"/>
  <c r="BE27" i="5" s="1"/>
  <c r="BF27" i="5" a="1"/>
  <c r="BF27" i="5" s="1"/>
  <c r="BG27" i="5" a="1"/>
  <c r="BG27" i="5" s="1"/>
  <c r="BH27" i="5" a="1"/>
  <c r="BH27" i="5" s="1"/>
  <c r="BI27" i="5" a="1"/>
  <c r="BI27" i="5" s="1"/>
  <c r="BJ27" i="5" a="1"/>
  <c r="BJ27" i="5" s="1"/>
  <c r="BK27" i="5" a="1"/>
  <c r="BK27" i="5"/>
  <c r="BA16" i="5" a="1"/>
  <c r="BA16" i="5" s="1"/>
  <c r="BB16" i="5" a="1"/>
  <c r="BB16" i="5" s="1"/>
  <c r="BC16" i="5" a="1"/>
  <c r="BC16" i="5" s="1"/>
  <c r="BD16" i="5" a="1"/>
  <c r="BD16" i="5" s="1"/>
  <c r="BE16" i="5" a="1"/>
  <c r="BE16" i="5" s="1"/>
  <c r="BF16" i="5" a="1"/>
  <c r="BF16" i="5" s="1"/>
  <c r="BG16" i="5" a="1"/>
  <c r="BG16" i="5" s="1"/>
  <c r="BH16" i="5" a="1"/>
  <c r="BH16" i="5" s="1"/>
  <c r="BI16" i="5" a="1"/>
  <c r="BI16" i="5" s="1"/>
  <c r="BJ16" i="5" a="1"/>
  <c r="BJ16" i="5" s="1"/>
  <c r="BK16" i="5" a="1"/>
  <c r="BK16" i="5" s="1"/>
  <c r="AZ16" i="5" a="1"/>
  <c r="AZ16" i="5" s="1"/>
  <c r="DI17" i="5" a="1"/>
  <c r="DI17" i="5"/>
  <c r="DI18" i="5" a="1"/>
  <c r="DI18" i="5"/>
  <c r="DI19" i="5" a="1"/>
  <c r="DI19" i="5"/>
  <c r="DI20" i="5" a="1"/>
  <c r="DI20" i="5" s="1"/>
  <c r="DI21" i="5" a="1"/>
  <c r="DI21" i="5"/>
  <c r="DI22" i="5" a="1"/>
  <c r="DI22" i="5"/>
  <c r="DI23" i="5" a="1"/>
  <c r="DI23" i="5"/>
  <c r="DI24" i="5" a="1"/>
  <c r="DI24" i="5" s="1"/>
  <c r="DI25" i="5" a="1"/>
  <c r="DI25" i="5"/>
  <c r="DI26" i="5" a="1"/>
  <c r="DI26" i="5"/>
  <c r="DI27" i="5" a="1"/>
  <c r="DI27" i="5"/>
  <c r="DI16" i="5"/>
  <c r="DI16" i="5" a="1"/>
  <c r="AY16" i="5" l="1"/>
  <c r="ET17" i="5" l="1" a="1"/>
  <c r="ET17" i="5" s="1"/>
  <c r="ET16" i="5" a="1"/>
  <c r="ET16" i="5" s="1"/>
  <c r="F10" i="5" l="1"/>
  <c r="G5" i="6" l="1"/>
  <c r="G6" i="6"/>
  <c r="G7" i="6"/>
  <c r="G8" i="6"/>
  <c r="G9" i="6"/>
  <c r="G10" i="6"/>
  <c r="G11" i="6"/>
  <c r="G12" i="6"/>
  <c r="G13" i="6"/>
  <c r="G14" i="6"/>
  <c r="G15" i="6"/>
  <c r="G16" i="6"/>
  <c r="G17" i="6"/>
  <c r="G18" i="6"/>
  <c r="G4" i="6"/>
  <c r="M4" i="6"/>
  <c r="M5" i="6"/>
  <c r="M6" i="6"/>
  <c r="M7" i="6"/>
  <c r="M8" i="6"/>
  <c r="M9" i="6"/>
  <c r="M10" i="6"/>
  <c r="M11" i="6"/>
  <c r="M12" i="6"/>
  <c r="M13" i="6"/>
  <c r="M14" i="6"/>
  <c r="M15" i="6"/>
  <c r="M16" i="6"/>
  <c r="M17" i="6"/>
  <c r="M18" i="6"/>
  <c r="N5" i="6"/>
  <c r="O5" i="6"/>
  <c r="P5" i="6"/>
  <c r="N6" i="6"/>
  <c r="O6" i="6"/>
  <c r="P6" i="6"/>
  <c r="N7" i="6"/>
  <c r="O7" i="6"/>
  <c r="P7" i="6"/>
  <c r="N8" i="6"/>
  <c r="O8" i="6"/>
  <c r="P8" i="6"/>
  <c r="N9" i="6"/>
  <c r="O9" i="6"/>
  <c r="P9" i="6"/>
  <c r="N10" i="6"/>
  <c r="O10" i="6"/>
  <c r="P10" i="6"/>
  <c r="N11" i="6"/>
  <c r="O11" i="6"/>
  <c r="P11" i="6"/>
  <c r="N12" i="6"/>
  <c r="O12" i="6"/>
  <c r="P12" i="6"/>
  <c r="N13" i="6"/>
  <c r="O13" i="6"/>
  <c r="P13" i="6"/>
  <c r="N14" i="6"/>
  <c r="O14" i="6"/>
  <c r="P14" i="6"/>
  <c r="N15" i="6"/>
  <c r="O15" i="6"/>
  <c r="P15" i="6"/>
  <c r="N16" i="6"/>
  <c r="O16" i="6"/>
  <c r="P16" i="6"/>
  <c r="N17" i="6"/>
  <c r="O17" i="6"/>
  <c r="P17" i="6"/>
  <c r="N18" i="6"/>
  <c r="O18" i="6"/>
  <c r="P18" i="6"/>
  <c r="P4" i="6"/>
  <c r="O4" i="6"/>
  <c r="N4" i="6"/>
  <c r="H5" i="6"/>
  <c r="I5" i="6"/>
  <c r="J5" i="6"/>
  <c r="H6" i="6"/>
  <c r="I6" i="6"/>
  <c r="J6" i="6"/>
  <c r="H7" i="6"/>
  <c r="I7" i="6"/>
  <c r="J7" i="6"/>
  <c r="H8" i="6"/>
  <c r="I8" i="6"/>
  <c r="J8" i="6"/>
  <c r="H9" i="6"/>
  <c r="I9" i="6"/>
  <c r="J9" i="6"/>
  <c r="H10" i="6"/>
  <c r="I10" i="6"/>
  <c r="J10" i="6"/>
  <c r="H11" i="6"/>
  <c r="I11" i="6"/>
  <c r="J11" i="6"/>
  <c r="H12" i="6"/>
  <c r="I12" i="6"/>
  <c r="J12" i="6"/>
  <c r="H13" i="6"/>
  <c r="I13" i="6"/>
  <c r="J13" i="6"/>
  <c r="H14" i="6"/>
  <c r="I14" i="6"/>
  <c r="J14" i="6"/>
  <c r="H15" i="6"/>
  <c r="I15" i="6"/>
  <c r="J15" i="6"/>
  <c r="H16" i="6"/>
  <c r="I16" i="6"/>
  <c r="J16" i="6"/>
  <c r="H17" i="6"/>
  <c r="I17" i="6"/>
  <c r="J17" i="6"/>
  <c r="H18" i="6"/>
  <c r="I18" i="6"/>
  <c r="J18" i="6"/>
  <c r="B5" i="6"/>
  <c r="C5" i="6"/>
  <c r="D5" i="6"/>
  <c r="B6" i="6"/>
  <c r="C6" i="6"/>
  <c r="D6" i="6"/>
  <c r="B7" i="6"/>
  <c r="C7" i="6"/>
  <c r="D7" i="6"/>
  <c r="B8" i="6"/>
  <c r="C8" i="6"/>
  <c r="D8" i="6"/>
  <c r="B9" i="6"/>
  <c r="C9" i="6"/>
  <c r="D9" i="6"/>
  <c r="B10" i="6"/>
  <c r="C10" i="6"/>
  <c r="D10" i="6"/>
  <c r="B11" i="6"/>
  <c r="C11" i="6"/>
  <c r="D11" i="6"/>
  <c r="B12" i="6"/>
  <c r="C12" i="6"/>
  <c r="D12" i="6"/>
  <c r="B13" i="6"/>
  <c r="C13" i="6"/>
  <c r="D13" i="6"/>
  <c r="B14" i="6"/>
  <c r="C14" i="6"/>
  <c r="D14" i="6"/>
  <c r="B15" i="6"/>
  <c r="C15" i="6"/>
  <c r="D15" i="6"/>
  <c r="B16" i="6"/>
  <c r="C16" i="6"/>
  <c r="D16" i="6"/>
  <c r="B17" i="6"/>
  <c r="C17" i="6"/>
  <c r="D17" i="6"/>
  <c r="B18" i="6"/>
  <c r="C18" i="6"/>
  <c r="D18" i="6"/>
  <c r="J4" i="6"/>
  <c r="I4" i="6"/>
  <c r="H4" i="6"/>
  <c r="D4" i="6"/>
  <c r="C4" i="6"/>
  <c r="B4" i="6"/>
  <c r="Q8" i="6" l="1"/>
  <c r="R8" i="6" s="1"/>
  <c r="E11" i="6"/>
  <c r="F11" i="6" s="1"/>
  <c r="K17" i="6"/>
  <c r="L17" i="6" s="1"/>
  <c r="Q11" i="6"/>
  <c r="R11" i="6" s="1"/>
  <c r="E6" i="6"/>
  <c r="F6" i="6" s="1"/>
  <c r="E14" i="6"/>
  <c r="F14" i="6" s="1"/>
  <c r="Q13" i="6"/>
  <c r="R13" i="6" s="1"/>
  <c r="Q5" i="6"/>
  <c r="R5" i="6" s="1"/>
  <c r="E8" i="6"/>
  <c r="F8" i="6" s="1"/>
  <c r="E17" i="6"/>
  <c r="F17" i="6" s="1"/>
  <c r="Q9" i="6"/>
  <c r="R9" i="6" s="1"/>
  <c r="E16" i="6"/>
  <c r="F16" i="6" s="1"/>
  <c r="E9" i="6"/>
  <c r="F9" i="6" s="1"/>
  <c r="E13" i="6"/>
  <c r="F13" i="6" s="1"/>
  <c r="E5" i="6"/>
  <c r="F5" i="6" s="1"/>
  <c r="K16" i="6"/>
  <c r="L16" i="6" s="1"/>
  <c r="Q12" i="6"/>
  <c r="R12" i="6" s="1"/>
  <c r="Q15" i="6"/>
  <c r="R15" i="6" s="1"/>
  <c r="E18" i="6"/>
  <c r="F18" i="6" s="1"/>
  <c r="E15" i="6"/>
  <c r="F15" i="6" s="1"/>
  <c r="E12" i="6"/>
  <c r="F12" i="6" s="1"/>
  <c r="E7" i="6"/>
  <c r="F7" i="6" s="1"/>
  <c r="Q7" i="6"/>
  <c r="R7" i="6" s="1"/>
  <c r="Q14" i="6"/>
  <c r="R14" i="6" s="1"/>
  <c r="Q6" i="6"/>
  <c r="R6" i="6" s="1"/>
  <c r="Q18" i="6"/>
  <c r="R18" i="6" s="1"/>
  <c r="K15" i="6"/>
  <c r="L15" i="6" s="1"/>
  <c r="Q10" i="6"/>
  <c r="R10" i="6" s="1"/>
  <c r="O2" i="6"/>
  <c r="Q4" i="6"/>
  <c r="R4" i="6" s="1"/>
  <c r="B2" i="6"/>
  <c r="E10" i="6"/>
  <c r="F10" i="6" s="1"/>
  <c r="K18" i="6"/>
  <c r="L18" i="6" s="1"/>
  <c r="K5" i="6"/>
  <c r="L5" i="6" s="1"/>
  <c r="K6" i="6"/>
  <c r="L6" i="6" s="1"/>
  <c r="K7" i="6"/>
  <c r="L7" i="6" s="1"/>
  <c r="K8" i="6"/>
  <c r="L8" i="6" s="1"/>
  <c r="K9" i="6"/>
  <c r="L9" i="6" s="1"/>
  <c r="K10" i="6"/>
  <c r="L10" i="6" s="1"/>
  <c r="K11" i="6"/>
  <c r="L11" i="6" s="1"/>
  <c r="K12" i="6"/>
  <c r="L12" i="6" s="1"/>
  <c r="K13" i="6"/>
  <c r="L13" i="6" s="1"/>
  <c r="K14" i="6"/>
  <c r="L14" i="6" s="1"/>
  <c r="H2" i="6"/>
  <c r="P2" i="6"/>
  <c r="I2" i="6"/>
  <c r="J2" i="6"/>
  <c r="Q16" i="6"/>
  <c r="R16" i="6" s="1"/>
  <c r="Q17" i="6"/>
  <c r="R17" i="6" s="1"/>
  <c r="C2" i="6"/>
  <c r="E4" i="6"/>
  <c r="K4" i="6"/>
  <c r="D2" i="6"/>
  <c r="N2" i="6"/>
  <c r="Q2" i="6" l="1"/>
  <c r="R2" i="6"/>
  <c r="E2" i="6"/>
  <c r="F4" i="6"/>
  <c r="F2" i="6" s="1"/>
  <c r="L4" i="6"/>
  <c r="L2" i="6" s="1"/>
  <c r="K2" i="6"/>
  <c r="BL24" i="5"/>
  <c r="BL23" i="5"/>
  <c r="AB23" i="5" s="1"/>
  <c r="BL19" i="5"/>
  <c r="BL18" i="5"/>
  <c r="BL16" i="5"/>
  <c r="BL25" i="5"/>
  <c r="BL21" i="5"/>
  <c r="BL26" i="5"/>
  <c r="BL22" i="5"/>
  <c r="BL17" i="5"/>
  <c r="BL20" i="5"/>
  <c r="BL27" i="5"/>
  <c r="ET27" i="5" a="1"/>
  <c r="ET27" i="5" s="1"/>
  <c r="ER27" i="5" a="1"/>
  <c r="ER27" i="5" s="1"/>
  <c r="DQ27" i="5" a="1"/>
  <c r="DQ27" i="5" s="1"/>
  <c r="BO27" i="5" s="1"/>
  <c r="CF27" i="5"/>
  <c r="CD27" i="5"/>
  <c r="AY27" i="5"/>
  <c r="AN27" i="5"/>
  <c r="P27" i="5" a="1"/>
  <c r="P27" i="5" s="1"/>
  <c r="H27" i="5" a="1"/>
  <c r="H27" i="5" s="1"/>
  <c r="E27" i="5" a="1"/>
  <c r="E27" i="5" s="1"/>
  <c r="D27" i="5" s="1" a="1"/>
  <c r="D27" i="5" s="1"/>
  <c r="ET26" i="5" a="1"/>
  <c r="ET26" i="5" s="1"/>
  <c r="ER26" i="5" a="1"/>
  <c r="ER26" i="5" s="1"/>
  <c r="DQ26" i="5" a="1"/>
  <c r="DQ26" i="5" s="1"/>
  <c r="BO26" i="5" s="1"/>
  <c r="CF26" i="5"/>
  <c r="CD26" i="5"/>
  <c r="AY26" i="5"/>
  <c r="AN26" i="5"/>
  <c r="P26" i="5" a="1"/>
  <c r="P26" i="5" s="1"/>
  <c r="V26" i="5" s="1"/>
  <c r="H26" i="5" a="1"/>
  <c r="H26" i="5" s="1"/>
  <c r="E26" i="5" a="1"/>
  <c r="E26" i="5" s="1"/>
  <c r="D26" i="5" s="1" a="1"/>
  <c r="D26" i="5" s="1"/>
  <c r="ET25" i="5" a="1"/>
  <c r="ET25" i="5" s="1"/>
  <c r="ER25" i="5" a="1"/>
  <c r="ER25" i="5" s="1"/>
  <c r="DQ25" i="5" a="1"/>
  <c r="DQ25" i="5" s="1"/>
  <c r="BO25" i="5" s="1"/>
  <c r="CF25" i="5"/>
  <c r="CD25" i="5"/>
  <c r="AY25" i="5"/>
  <c r="AN25" i="5"/>
  <c r="P25" i="5" a="1"/>
  <c r="P25" i="5" s="1"/>
  <c r="H25" i="5" a="1"/>
  <c r="H25" i="5" s="1"/>
  <c r="E25" i="5" a="1"/>
  <c r="E25" i="5" s="1"/>
  <c r="D25" i="5" s="1" a="1"/>
  <c r="D25" i="5" s="1"/>
  <c r="ET24" i="5" a="1"/>
  <c r="ET24" i="5" s="1"/>
  <c r="ER24" i="5" a="1"/>
  <c r="ER24" i="5" s="1"/>
  <c r="DQ24" i="5" a="1"/>
  <c r="DQ24" i="5" s="1"/>
  <c r="BO24" i="5" s="1"/>
  <c r="CF24" i="5"/>
  <c r="CD24" i="5"/>
  <c r="AY24" i="5"/>
  <c r="AN24" i="5"/>
  <c r="P24" i="5" a="1"/>
  <c r="P24" i="5" s="1"/>
  <c r="V24" i="5" s="1"/>
  <c r="H24" i="5" a="1"/>
  <c r="H24" i="5" s="1"/>
  <c r="E24" i="5" a="1"/>
  <c r="E24" i="5" s="1"/>
  <c r="D24" i="5" s="1" a="1"/>
  <c r="D24" i="5" s="1"/>
  <c r="ET23" i="5" a="1"/>
  <c r="ET23" i="5" s="1"/>
  <c r="ER23" i="5" a="1"/>
  <c r="ER23" i="5" s="1"/>
  <c r="DQ23" i="5" a="1"/>
  <c r="DQ23" i="5" s="1"/>
  <c r="BO23" i="5" s="1"/>
  <c r="CF23" i="5"/>
  <c r="CD23" i="5"/>
  <c r="AY23" i="5"/>
  <c r="AN23" i="5"/>
  <c r="P23" i="5" a="1"/>
  <c r="P23" i="5" s="1"/>
  <c r="V23" i="5" s="1"/>
  <c r="H23" i="5" a="1"/>
  <c r="H23" i="5" s="1"/>
  <c r="E23" i="5" a="1"/>
  <c r="E23" i="5" s="1"/>
  <c r="D23" i="5" s="1" a="1"/>
  <c r="D23" i="5" s="1"/>
  <c r="R23" i="5" l="1" a="1"/>
  <c r="R23" i="5" s="1"/>
  <c r="AO23" i="5" s="1"/>
  <c r="CG23" i="5"/>
  <c r="EI23" i="5"/>
  <c r="EJ23" i="5" s="1"/>
  <c r="EL23" i="5"/>
  <c r="EM23" i="5" s="1"/>
  <c r="CE23" i="5"/>
  <c r="AB24" i="5"/>
  <c r="CE24" i="5" s="1"/>
  <c r="BP24" i="5"/>
  <c r="BP23" i="5"/>
  <c r="DG23" i="5"/>
  <c r="DJ23" i="5" s="1"/>
  <c r="V25" i="5"/>
  <c r="R25" i="5" a="1"/>
  <c r="R25" i="5" s="1"/>
  <c r="AB26" i="5"/>
  <c r="CE26" i="5" s="1"/>
  <c r="BP26" i="5"/>
  <c r="AB25" i="5"/>
  <c r="CG25" i="5" s="1"/>
  <c r="R24" i="5" a="1"/>
  <c r="R24" i="5" s="1"/>
  <c r="R26" i="5" a="1"/>
  <c r="R26" i="5" s="1"/>
  <c r="BP27" i="5"/>
  <c r="V27" i="5"/>
  <c r="R27" i="5" a="1"/>
  <c r="R27" i="5" s="1"/>
  <c r="AB27" i="5"/>
  <c r="BZ26" i="5" l="1" a="1"/>
  <c r="BZ26" i="5" s="1"/>
  <c r="BT26" i="5" a="1"/>
  <c r="BT26" i="5" s="1"/>
  <c r="CA26" i="5" a="1"/>
  <c r="CA26" i="5" s="1"/>
  <c r="BW26" i="5" a="1"/>
  <c r="BW26" i="5" s="1"/>
  <c r="BU26" i="5" a="1"/>
  <c r="BU26" i="5" s="1"/>
  <c r="BV26" i="5" a="1"/>
  <c r="BV26" i="5" s="1"/>
  <c r="CB26" i="5" a="1"/>
  <c r="CB26" i="5" s="1"/>
  <c r="BQ26" i="5" a="1"/>
  <c r="BQ26" i="5" s="1"/>
  <c r="BS26" i="5" a="1"/>
  <c r="BS26" i="5" s="1"/>
  <c r="BR26" i="5" a="1"/>
  <c r="BR26" i="5" s="1"/>
  <c r="BX26" i="5" a="1"/>
  <c r="BX26" i="5" s="1"/>
  <c r="BY26" i="5" a="1"/>
  <c r="BY26" i="5" s="1"/>
  <c r="BU27" i="5" a="1"/>
  <c r="BU27" i="5" s="1"/>
  <c r="CB27" i="5" a="1"/>
  <c r="CB27" i="5" s="1"/>
  <c r="BR27" i="5" a="1"/>
  <c r="BR27" i="5" s="1"/>
  <c r="BZ27" i="5" a="1"/>
  <c r="BZ27" i="5" s="1"/>
  <c r="BV27" i="5" a="1"/>
  <c r="BV27" i="5" s="1"/>
  <c r="BT27" i="5" a="1"/>
  <c r="BT27" i="5" s="1"/>
  <c r="BW27" i="5" a="1"/>
  <c r="BW27" i="5" s="1"/>
  <c r="CA27" i="5" a="1"/>
  <c r="CA27" i="5" s="1"/>
  <c r="BX27" i="5" a="1"/>
  <c r="BX27" i="5" s="1"/>
  <c r="BQ27" i="5" a="1"/>
  <c r="BQ27" i="5" s="1"/>
  <c r="BS27" i="5" a="1"/>
  <c r="BS27" i="5" s="1"/>
  <c r="BY27" i="5" a="1"/>
  <c r="BY27" i="5" s="1"/>
  <c r="BV24" i="5" a="1"/>
  <c r="BV24" i="5" s="1"/>
  <c r="CB24" i="5" a="1"/>
  <c r="CB24" i="5" s="1"/>
  <c r="BW24" i="5" a="1"/>
  <c r="BW24" i="5" s="1"/>
  <c r="BQ24" i="5" a="1"/>
  <c r="BQ24" i="5" s="1"/>
  <c r="BX24" i="5" a="1"/>
  <c r="BX24" i="5" s="1"/>
  <c r="BS24" i="5" a="1"/>
  <c r="BS24" i="5" s="1"/>
  <c r="BR24" i="5" a="1"/>
  <c r="BR24" i="5" s="1"/>
  <c r="BY24" i="5" a="1"/>
  <c r="BY24" i="5" s="1"/>
  <c r="BT24" i="5" a="1"/>
  <c r="BT24" i="5" s="1"/>
  <c r="BZ24" i="5" a="1"/>
  <c r="BZ24" i="5" s="1"/>
  <c r="BU24" i="5" a="1"/>
  <c r="BU24" i="5" s="1"/>
  <c r="CA24" i="5" a="1"/>
  <c r="CA24" i="5" s="1"/>
  <c r="BW23" i="5" a="1"/>
  <c r="BW23" i="5" s="1"/>
  <c r="BX23" i="5" a="1"/>
  <c r="BX23" i="5" s="1"/>
  <c r="BR23" i="5" a="1"/>
  <c r="BR23" i="5" s="1"/>
  <c r="BQ23" i="5" a="1"/>
  <c r="BQ23" i="5" s="1"/>
  <c r="BS23" i="5" a="1"/>
  <c r="BS23" i="5" s="1"/>
  <c r="BY23" i="5" a="1"/>
  <c r="BY23" i="5" s="1"/>
  <c r="BU23" i="5" a="1"/>
  <c r="BU23" i="5" s="1"/>
  <c r="BT23" i="5" a="1"/>
  <c r="BT23" i="5" s="1"/>
  <c r="BZ23" i="5" a="1"/>
  <c r="BZ23" i="5" s="1"/>
  <c r="CB23" i="5" a="1"/>
  <c r="CB23" i="5" s="1"/>
  <c r="CA23" i="5" a="1"/>
  <c r="CA23" i="5" s="1"/>
  <c r="BV23" i="5" a="1"/>
  <c r="BV23" i="5" s="1"/>
  <c r="BN23" i="5"/>
  <c r="AL23" i="5"/>
  <c r="AP23" i="5"/>
  <c r="AM23" i="5"/>
  <c r="AP27" i="5"/>
  <c r="AO27" i="5"/>
  <c r="AM27" i="5"/>
  <c r="AL27" i="5"/>
  <c r="AM26" i="5"/>
  <c r="AL26" i="5"/>
  <c r="AO26" i="5"/>
  <c r="AP26" i="5"/>
  <c r="CZ23" i="5"/>
  <c r="AP25" i="5"/>
  <c r="AO25" i="5"/>
  <c r="AM25" i="5"/>
  <c r="AL25" i="5"/>
  <c r="DA23" i="5"/>
  <c r="EI27" i="5"/>
  <c r="EJ27" i="5" s="1"/>
  <c r="DG27" i="5"/>
  <c r="DJ27" i="5" s="1"/>
  <c r="CG27" i="5"/>
  <c r="CE27" i="5"/>
  <c r="EL27" i="5"/>
  <c r="EM27" i="5" s="1"/>
  <c r="EI25" i="5"/>
  <c r="EJ25" i="5" s="1"/>
  <c r="DG25" i="5"/>
  <c r="DJ25" i="5" s="1"/>
  <c r="EL25" i="5"/>
  <c r="EM25" i="5" s="1"/>
  <c r="AM24" i="5"/>
  <c r="AO24" i="5"/>
  <c r="AP24" i="5"/>
  <c r="AL24" i="5"/>
  <c r="EL24" i="5"/>
  <c r="EM24" i="5" s="1"/>
  <c r="EI24" i="5"/>
  <c r="EJ24" i="5" s="1"/>
  <c r="CG24" i="5"/>
  <c r="DG24" i="5"/>
  <c r="DJ24" i="5" s="1"/>
  <c r="EL26" i="5"/>
  <c r="EM26" i="5" s="1"/>
  <c r="EI26" i="5"/>
  <c r="EJ26" i="5" s="1"/>
  <c r="CG26" i="5"/>
  <c r="DG26" i="5"/>
  <c r="DJ26" i="5" s="1"/>
  <c r="CE25" i="5"/>
  <c r="DR23" i="5" l="1" a="1"/>
  <c r="DR23" i="5" s="1"/>
  <c r="BN27" i="5"/>
  <c r="DR27" i="5" a="1"/>
  <c r="DR27" i="5" s="1"/>
  <c r="CZ27" i="5"/>
  <c r="CZ25" i="5"/>
  <c r="CZ26" i="5"/>
  <c r="BN26" i="5"/>
  <c r="DR26" i="5" a="1"/>
  <c r="DR26" i="5" s="1"/>
  <c r="BN24" i="5"/>
  <c r="DR24" i="5" a="1"/>
  <c r="DR24" i="5" s="1"/>
  <c r="CZ24" i="5"/>
  <c r="DA26" i="5"/>
  <c r="DA24" i="5"/>
  <c r="DA25" i="5"/>
  <c r="DA27" i="5"/>
  <c r="BN25" i="5"/>
  <c r="BP25" i="5" s="1"/>
  <c r="DR25" i="5" a="1"/>
  <c r="DR25" i="5" s="1"/>
  <c r="DT26" i="5" l="1" a="1"/>
  <c r="DT26" i="5" s="1"/>
  <c r="DZ26" i="5" a="1"/>
  <c r="DZ26" i="5" s="1"/>
  <c r="ED26" i="5" a="1"/>
  <c r="ED26" i="5" s="1"/>
  <c r="DU26" i="5" a="1"/>
  <c r="DU26" i="5" s="1"/>
  <c r="EA26" i="5" a="1"/>
  <c r="EA26" i="5" s="1"/>
  <c r="DW26" i="5" a="1"/>
  <c r="DW26" i="5" s="1"/>
  <c r="EB26" i="5" a="1"/>
  <c r="EB26" i="5" s="1"/>
  <c r="DS26" i="5" a="1"/>
  <c r="DS26" i="5" s="1"/>
  <c r="DV26" i="5" a="1"/>
  <c r="DV26" i="5" s="1"/>
  <c r="EC26" i="5" a="1"/>
  <c r="EC26" i="5" s="1"/>
  <c r="DY26" i="5" a="1"/>
  <c r="DY26" i="5" s="1"/>
  <c r="DX26" i="5" a="1"/>
  <c r="DX26" i="5" s="1"/>
  <c r="BR25" i="5" a="1"/>
  <c r="BR25" i="5" s="1"/>
  <c r="BX25" i="5" a="1"/>
  <c r="BX25" i="5" s="1"/>
  <c r="BU25" i="5" a="1"/>
  <c r="BU25" i="5" s="1"/>
  <c r="BY25" i="5" a="1"/>
  <c r="BY25" i="5" s="1"/>
  <c r="BW25" i="5" a="1"/>
  <c r="BW25" i="5" s="1"/>
  <c r="BS25" i="5" a="1"/>
  <c r="BS25" i="5" s="1"/>
  <c r="BZ25" i="5" a="1"/>
  <c r="BZ25" i="5" s="1"/>
  <c r="BQ25" i="5" a="1"/>
  <c r="BQ25" i="5" s="1"/>
  <c r="BT25" i="5" a="1"/>
  <c r="BT25" i="5" s="1"/>
  <c r="CA25" i="5" a="1"/>
  <c r="CA25" i="5" s="1"/>
  <c r="BV25" i="5" a="1"/>
  <c r="BV25" i="5" s="1"/>
  <c r="CB25" i="5" a="1"/>
  <c r="CB25" i="5" s="1"/>
  <c r="DW27" i="5" a="1"/>
  <c r="DW27" i="5" s="1"/>
  <c r="EC27" i="5" a="1"/>
  <c r="EC27" i="5" s="1"/>
  <c r="DX27" i="5" a="1"/>
  <c r="DX27" i="5" s="1"/>
  <c r="DY27" i="5" a="1"/>
  <c r="DY27" i="5" s="1"/>
  <c r="DU27" i="5" a="1"/>
  <c r="DU27" i="5" s="1"/>
  <c r="ED27" i="5" a="1"/>
  <c r="ED27" i="5" s="1"/>
  <c r="DZ27" i="5" a="1"/>
  <c r="DZ27" i="5" s="1"/>
  <c r="DS27" i="5" a="1"/>
  <c r="DS27" i="5" s="1"/>
  <c r="EA27" i="5" a="1"/>
  <c r="EA27" i="5" s="1"/>
  <c r="DV27" i="5" a="1"/>
  <c r="DV27" i="5" s="1"/>
  <c r="DT27" i="5" a="1"/>
  <c r="DT27" i="5" s="1"/>
  <c r="EB27" i="5" a="1"/>
  <c r="EB27" i="5" s="1"/>
  <c r="DU25" i="5" a="1"/>
  <c r="DU25" i="5" s="1"/>
  <c r="DY25" i="5" a="1"/>
  <c r="DY25" i="5" s="1"/>
  <c r="DS25" i="5" a="1"/>
  <c r="DS25" i="5" s="1"/>
  <c r="EC25" i="5" a="1"/>
  <c r="EC25" i="5" s="1"/>
  <c r="ED25" i="5" a="1"/>
  <c r="ED25" i="5" s="1"/>
  <c r="DT25" i="5" a="1"/>
  <c r="DT25" i="5" s="1"/>
  <c r="DZ25" i="5" a="1"/>
  <c r="DZ25" i="5" s="1"/>
  <c r="EA25" i="5" a="1"/>
  <c r="EA25" i="5" s="1"/>
  <c r="EB25" i="5" a="1"/>
  <c r="EB25" i="5" s="1"/>
  <c r="DW25" i="5" a="1"/>
  <c r="DW25" i="5" s="1"/>
  <c r="DV25" i="5" a="1"/>
  <c r="DV25" i="5" s="1"/>
  <c r="DX25" i="5" a="1"/>
  <c r="DX25" i="5" s="1"/>
  <c r="DW24" i="5" a="1"/>
  <c r="DW24" i="5" s="1"/>
  <c r="EC24" i="5" a="1"/>
  <c r="EC24" i="5" s="1"/>
  <c r="DS24" i="5" a="1"/>
  <c r="DS24" i="5" s="1"/>
  <c r="EB24" i="5" a="1"/>
  <c r="EB24" i="5" s="1"/>
  <c r="ED24" i="5" a="1"/>
  <c r="ED24" i="5" s="1"/>
  <c r="DZ24" i="5" a="1"/>
  <c r="DZ24" i="5" s="1"/>
  <c r="DX24" i="5" a="1"/>
  <c r="DX24" i="5" s="1"/>
  <c r="DY24" i="5" a="1"/>
  <c r="DY24" i="5" s="1"/>
  <c r="DV24" i="5" a="1"/>
  <c r="DV24" i="5" s="1"/>
  <c r="DT24" i="5" a="1"/>
  <c r="DT24" i="5" s="1"/>
  <c r="EA24" i="5" a="1"/>
  <c r="EA24" i="5" s="1"/>
  <c r="DU24" i="5" a="1"/>
  <c r="DU24" i="5" s="1"/>
  <c r="DV23" i="5" a="1"/>
  <c r="DV23" i="5" s="1"/>
  <c r="EB23" i="5" a="1"/>
  <c r="EB23" i="5" s="1"/>
  <c r="EC23" i="5" a="1"/>
  <c r="EC23" i="5" s="1"/>
  <c r="DW23" i="5" a="1"/>
  <c r="DW23" i="5" s="1"/>
  <c r="ED23" i="5" a="1"/>
  <c r="ED23" i="5" s="1"/>
  <c r="DX23" i="5" a="1"/>
  <c r="DX23" i="5" s="1"/>
  <c r="DT23" i="5" a="1"/>
  <c r="DT23" i="5" s="1"/>
  <c r="DY23" i="5" a="1"/>
  <c r="DY23" i="5" s="1"/>
  <c r="DS23" i="5" a="1"/>
  <c r="DS23" i="5" s="1"/>
  <c r="DZ23" i="5" a="1"/>
  <c r="DZ23" i="5" s="1"/>
  <c r="DU23" i="5" a="1"/>
  <c r="DU23" i="5" s="1"/>
  <c r="EA23" i="5" a="1"/>
  <c r="EA23" i="5" s="1"/>
  <c r="AV23" i="5"/>
  <c r="AV26" i="5"/>
  <c r="AV24" i="5"/>
  <c r="AV27" i="5"/>
  <c r="AV25" i="5"/>
  <c r="EE23" i="5" l="1"/>
  <c r="EN23" i="5" s="1"/>
  <c r="EE27" i="5"/>
  <c r="EN27" i="5" s="1"/>
  <c r="EE26" i="5"/>
  <c r="EN26" i="5" s="1"/>
  <c r="EE25" i="5"/>
  <c r="EN25" i="5" s="1"/>
  <c r="EE24" i="5"/>
  <c r="EN24" i="5" s="1"/>
  <c r="ET22" i="5" a="1"/>
  <c r="ET22" i="5" s="1"/>
  <c r="ER22" i="5" a="1"/>
  <c r="ER22" i="5" s="1"/>
  <c r="DQ22" i="5" a="1"/>
  <c r="DQ22" i="5" s="1"/>
  <c r="BO22" i="5" s="1"/>
  <c r="CF22" i="5"/>
  <c r="CD22" i="5"/>
  <c r="AY22" i="5"/>
  <c r="AN22" i="5"/>
  <c r="P22" i="5" a="1"/>
  <c r="P22" i="5" s="1"/>
  <c r="H22" i="5" a="1"/>
  <c r="H22" i="5" s="1"/>
  <c r="E22" i="5" a="1"/>
  <c r="E22" i="5" s="1"/>
  <c r="D22" i="5" s="1" a="1"/>
  <c r="D22" i="5" s="1"/>
  <c r="ET21" i="5" a="1"/>
  <c r="ET21" i="5" s="1"/>
  <c r="ER21" i="5" a="1"/>
  <c r="ER21" i="5" s="1"/>
  <c r="DQ21" i="5" a="1"/>
  <c r="DQ21" i="5" s="1"/>
  <c r="BO21" i="5" s="1"/>
  <c r="CF21" i="5"/>
  <c r="CD21" i="5"/>
  <c r="AY21" i="5"/>
  <c r="AN21" i="5"/>
  <c r="P21" i="5" a="1"/>
  <c r="P21" i="5" s="1"/>
  <c r="V21" i="5" s="1"/>
  <c r="H21" i="5" a="1"/>
  <c r="H21" i="5" s="1"/>
  <c r="E21" i="5" a="1"/>
  <c r="E21" i="5" s="1"/>
  <c r="D21" i="5" s="1" a="1"/>
  <c r="D21" i="5" s="1"/>
  <c r="ET20" i="5" a="1"/>
  <c r="ET20" i="5" s="1"/>
  <c r="ER20" i="5" a="1"/>
  <c r="ER20" i="5" s="1"/>
  <c r="DQ20" i="5" a="1"/>
  <c r="DQ20" i="5" s="1"/>
  <c r="BO20" i="5" s="1"/>
  <c r="CF20" i="5"/>
  <c r="CD20" i="5"/>
  <c r="AY20" i="5"/>
  <c r="AN20" i="5"/>
  <c r="P20" i="5" a="1"/>
  <c r="P20" i="5" s="1"/>
  <c r="V20" i="5" s="1"/>
  <c r="H20" i="5" a="1"/>
  <c r="H20" i="5" s="1"/>
  <c r="E20" i="5" a="1"/>
  <c r="E20" i="5" s="1"/>
  <c r="D20" i="5" s="1" a="1"/>
  <c r="D20" i="5" s="1"/>
  <c r="ET19" i="5" a="1"/>
  <c r="ET19" i="5" s="1"/>
  <c r="ER19" i="5" a="1"/>
  <c r="ER19" i="5" s="1"/>
  <c r="DQ19" i="5" a="1"/>
  <c r="DQ19" i="5" s="1"/>
  <c r="BO19" i="5" s="1"/>
  <c r="CF19" i="5"/>
  <c r="CD19" i="5"/>
  <c r="AY19" i="5"/>
  <c r="AN19" i="5"/>
  <c r="P19" i="5" a="1"/>
  <c r="P19" i="5" s="1"/>
  <c r="V19" i="5" s="1"/>
  <c r="H19" i="5" a="1"/>
  <c r="H19" i="5" s="1"/>
  <c r="E19" i="5" a="1"/>
  <c r="E19" i="5" s="1"/>
  <c r="D19" i="5" s="1" a="1"/>
  <c r="D19" i="5" s="1"/>
  <c r="ET18" i="5" a="1"/>
  <c r="ET18" i="5" s="1"/>
  <c r="ER18" i="5" a="1"/>
  <c r="ER18" i="5" s="1"/>
  <c r="DQ18" i="5" a="1"/>
  <c r="DQ18" i="5" s="1"/>
  <c r="BO18" i="5" s="1"/>
  <c r="CF18" i="5"/>
  <c r="CD18" i="5"/>
  <c r="AY18" i="5"/>
  <c r="AN18" i="5"/>
  <c r="P18" i="5" a="1"/>
  <c r="P18" i="5" s="1"/>
  <c r="R18" i="5" s="1" a="1"/>
  <c r="R18" i="5" s="1"/>
  <c r="H18" i="5" a="1"/>
  <c r="H18" i="5" s="1"/>
  <c r="E18" i="5" a="1"/>
  <c r="E18" i="5" s="1"/>
  <c r="D18" i="5" s="1" a="1"/>
  <c r="D18" i="5" s="1"/>
  <c r="ER17" i="5" a="1"/>
  <c r="ER17" i="5" s="1"/>
  <c r="DQ17" i="5" a="1"/>
  <c r="DQ17" i="5" s="1"/>
  <c r="BO17" i="5" s="1"/>
  <c r="CF17" i="5"/>
  <c r="CD17" i="5"/>
  <c r="AY17" i="5"/>
  <c r="AN17" i="5"/>
  <c r="P17" i="5" a="1"/>
  <c r="P17" i="5" s="1"/>
  <c r="H17" i="5" a="1"/>
  <c r="H17" i="5" s="1"/>
  <c r="E17" i="5" a="1"/>
  <c r="E17" i="5" s="1"/>
  <c r="D17" i="5" s="1" a="1"/>
  <c r="D17" i="5" s="1"/>
  <c r="ER16" i="5" a="1"/>
  <c r="ER16" i="5" s="1"/>
  <c r="DQ16" i="5" a="1"/>
  <c r="DQ16" i="5" s="1"/>
  <c r="BO16" i="5" s="1"/>
  <c r="CF16" i="5"/>
  <c r="CD16" i="5"/>
  <c r="AN16" i="5"/>
  <c r="P16" i="5" a="1"/>
  <c r="P16" i="5" s="1"/>
  <c r="R16" i="5" s="1" a="1"/>
  <c r="R16" i="5" s="1"/>
  <c r="H16" i="5" a="1"/>
  <c r="H16" i="5" s="1"/>
  <c r="E16" i="5" a="1"/>
  <c r="E16" i="5" s="1"/>
  <c r="D16" i="5" s="1" a="1"/>
  <c r="D16" i="5" s="1"/>
  <c r="V16" i="5" l="1"/>
  <c r="R19" i="5" a="1"/>
  <c r="R19" i="5" s="1"/>
  <c r="AO19" i="5" s="1"/>
  <c r="R17" i="5" a="1"/>
  <c r="R17" i="5" s="1"/>
  <c r="AO17" i="5" s="1"/>
  <c r="V17" i="5"/>
  <c r="AP18" i="5"/>
  <c r="AL18" i="5"/>
  <c r="R21" i="5" a="1"/>
  <c r="R21" i="5" s="1"/>
  <c r="AO21" i="5" s="1"/>
  <c r="V18" i="5"/>
  <c r="R20" i="5" a="1"/>
  <c r="R20" i="5" s="1"/>
  <c r="AO20" i="5" s="1"/>
  <c r="BP22" i="5"/>
  <c r="AP16" i="5"/>
  <c r="AO16" i="5"/>
  <c r="AM16" i="5"/>
  <c r="AL16" i="5"/>
  <c r="R22" i="5" a="1"/>
  <c r="R22" i="5" s="1"/>
  <c r="V22" i="5"/>
  <c r="AO18" i="5"/>
  <c r="AM18" i="5"/>
  <c r="BU22" i="5" l="1" a="1"/>
  <c r="BU22" i="5" s="1"/>
  <c r="BV22" i="5" a="1"/>
  <c r="BV22" i="5" s="1"/>
  <c r="CB22" i="5" a="1"/>
  <c r="CB22" i="5" s="1"/>
  <c r="BQ22" i="5" a="1"/>
  <c r="BQ22" i="5" s="1"/>
  <c r="BW22" i="5" a="1"/>
  <c r="BW22" i="5" s="1"/>
  <c r="BZ22" i="5" a="1"/>
  <c r="BZ22" i="5" s="1"/>
  <c r="BR22" i="5" a="1"/>
  <c r="BR22" i="5" s="1"/>
  <c r="BX22" i="5" a="1"/>
  <c r="BX22" i="5" s="1"/>
  <c r="BS22" i="5" a="1"/>
  <c r="BS22" i="5" s="1"/>
  <c r="BY22" i="5" a="1"/>
  <c r="BY22" i="5" s="1"/>
  <c r="BT22" i="5" a="1"/>
  <c r="BT22" i="5" s="1"/>
  <c r="CA22" i="5" a="1"/>
  <c r="CA22" i="5" s="1"/>
  <c r="AP19" i="5"/>
  <c r="AL17" i="5"/>
  <c r="AM20" i="5"/>
  <c r="AB22" i="5"/>
  <c r="EI22" i="5" s="1"/>
  <c r="EJ22" i="5" s="1"/>
  <c r="AB17" i="5"/>
  <c r="CE17" i="5" s="1"/>
  <c r="AM21" i="5"/>
  <c r="AB16" i="5"/>
  <c r="AM19" i="5"/>
  <c r="AL19" i="5"/>
  <c r="AP21" i="5"/>
  <c r="AL21" i="5"/>
  <c r="AL20" i="5"/>
  <c r="AP20" i="5"/>
  <c r="AP17" i="5"/>
  <c r="AM17" i="5"/>
  <c r="AB20" i="5"/>
  <c r="AB21" i="5"/>
  <c r="AB19" i="5"/>
  <c r="AB18" i="5"/>
  <c r="AP22" i="5"/>
  <c r="AO22" i="5"/>
  <c r="AM22" i="5"/>
  <c r="AL22" i="5"/>
  <c r="DG16" i="5" l="1"/>
  <c r="DJ16" i="5" s="1"/>
  <c r="EL16" i="5"/>
  <c r="EM16" i="5" s="1"/>
  <c r="EI16" i="5"/>
  <c r="EJ16" i="5" s="1"/>
  <c r="EL22" i="5"/>
  <c r="EM22" i="5" s="1"/>
  <c r="DG22" i="5"/>
  <c r="DJ22" i="5" s="1"/>
  <c r="CG17" i="5"/>
  <c r="DG17" i="5"/>
  <c r="DJ17" i="5" s="1"/>
  <c r="EI17" i="5"/>
  <c r="EJ17" i="5" s="1"/>
  <c r="EL17" i="5"/>
  <c r="EM17" i="5" s="1"/>
  <c r="CE22" i="5"/>
  <c r="CZ22" i="5" s="1"/>
  <c r="CG22" i="5"/>
  <c r="CG16" i="5"/>
  <c r="CE16" i="5"/>
  <c r="CE19" i="5"/>
  <c r="DG19" i="5"/>
  <c r="DJ19" i="5" s="1"/>
  <c r="EL19" i="5"/>
  <c r="EM19" i="5" s="1"/>
  <c r="EI19" i="5"/>
  <c r="EJ19" i="5" s="1"/>
  <c r="CG19" i="5"/>
  <c r="EL18" i="5"/>
  <c r="EM18" i="5" s="1"/>
  <c r="EI18" i="5"/>
  <c r="EJ18" i="5" s="1"/>
  <c r="DG18" i="5"/>
  <c r="DJ18" i="5" s="1"/>
  <c r="CG18" i="5"/>
  <c r="CE18" i="5"/>
  <c r="EL21" i="5"/>
  <c r="EM21" i="5" s="1"/>
  <c r="DG21" i="5"/>
  <c r="DJ21" i="5" s="1"/>
  <c r="EI21" i="5"/>
  <c r="EJ21" i="5" s="1"/>
  <c r="CE21" i="5"/>
  <c r="CG21" i="5"/>
  <c r="EL20" i="5"/>
  <c r="EM20" i="5" s="1"/>
  <c r="EI20" i="5"/>
  <c r="EJ20" i="5" s="1"/>
  <c r="DG20" i="5"/>
  <c r="DJ20" i="5" s="1"/>
  <c r="CE20" i="5"/>
  <c r="CG20" i="5"/>
  <c r="BN16" i="5" l="1"/>
  <c r="BP16" i="5" s="1"/>
  <c r="BN22" i="5"/>
  <c r="BN17" i="5"/>
  <c r="BP17" i="5" s="1"/>
  <c r="CZ17" i="5"/>
  <c r="CZ16" i="5"/>
  <c r="DA17" i="5"/>
  <c r="DA16" i="5"/>
  <c r="DA22" i="5"/>
  <c r="BN18" i="5"/>
  <c r="BP18" i="5" s="1"/>
  <c r="DR18" i="5" a="1"/>
  <c r="DR18" i="5" s="1"/>
  <c r="CZ19" i="5"/>
  <c r="BN21" i="5"/>
  <c r="BP21" i="5" s="1"/>
  <c r="DR21" i="5" a="1"/>
  <c r="DR21" i="5" s="1"/>
  <c r="CZ18" i="5"/>
  <c r="DA19" i="5"/>
  <c r="CZ21" i="5"/>
  <c r="BN20" i="5"/>
  <c r="BP20" i="5" s="1"/>
  <c r="DR20" i="5" a="1"/>
  <c r="DR20" i="5" s="1"/>
  <c r="DA21" i="5"/>
  <c r="DA18" i="5"/>
  <c r="BN19" i="5"/>
  <c r="BP19" i="5" s="1"/>
  <c r="DR19" i="5" a="1"/>
  <c r="DR19" i="5" s="1"/>
  <c r="CZ20" i="5"/>
  <c r="DA20" i="5"/>
  <c r="DU18" i="5" l="1" a="1"/>
  <c r="DU18" i="5" s="1"/>
  <c r="EA18" i="5" a="1"/>
  <c r="EA18" i="5" s="1"/>
  <c r="EB18" i="5" a="1"/>
  <c r="EB18" i="5" s="1"/>
  <c r="DV18" i="5" a="1"/>
  <c r="DV18" i="5" s="1"/>
  <c r="EC18" i="5" a="1"/>
  <c r="EC18" i="5" s="1"/>
  <c r="DW18" i="5" a="1"/>
  <c r="DW18" i="5" s="1"/>
  <c r="DX18" i="5" a="1"/>
  <c r="DX18" i="5" s="1"/>
  <c r="ED18" i="5" a="1"/>
  <c r="ED18" i="5" s="1"/>
  <c r="DY18" i="5" a="1"/>
  <c r="DY18" i="5" s="1"/>
  <c r="DT18" i="5" a="1"/>
  <c r="DT18" i="5" s="1"/>
  <c r="DZ18" i="5" a="1"/>
  <c r="DZ18" i="5" s="1"/>
  <c r="DS18" i="5" a="1"/>
  <c r="DS18" i="5" s="1"/>
  <c r="BS20" i="5" a="1"/>
  <c r="BS20" i="5" s="1"/>
  <c r="BQ20" i="5" a="1"/>
  <c r="BQ20" i="5" s="1"/>
  <c r="BT20" i="5" a="1"/>
  <c r="BT20" i="5" s="1"/>
  <c r="BZ20" i="5" a="1"/>
  <c r="BZ20" i="5" s="1"/>
  <c r="BU20" i="5" a="1"/>
  <c r="BU20" i="5" s="1"/>
  <c r="CA20" i="5" a="1"/>
  <c r="CA20" i="5" s="1"/>
  <c r="CB20" i="5" a="1"/>
  <c r="CB20" i="5" s="1"/>
  <c r="BV20" i="5" a="1"/>
  <c r="BV20" i="5" s="1"/>
  <c r="BW20" i="5" a="1"/>
  <c r="BW20" i="5" s="1"/>
  <c r="BR20" i="5" a="1"/>
  <c r="BR20" i="5" s="1"/>
  <c r="BY20" i="5" a="1"/>
  <c r="BY20" i="5" s="1"/>
  <c r="BX20" i="5" a="1"/>
  <c r="BX20" i="5" s="1"/>
  <c r="BV18" i="5" a="1"/>
  <c r="BV18" i="5" s="1"/>
  <c r="CB18" i="5" a="1"/>
  <c r="CB18" i="5" s="1"/>
  <c r="CA18" i="5" a="1"/>
  <c r="CA18" i="5" s="1"/>
  <c r="BW18" i="5" a="1"/>
  <c r="BW18" i="5" s="1"/>
  <c r="BT18" i="5" a="1"/>
  <c r="BT18" i="5" s="1"/>
  <c r="BR18" i="5" a="1"/>
  <c r="BR18" i="5" s="1"/>
  <c r="BX18" i="5" a="1"/>
  <c r="BX18" i="5" s="1"/>
  <c r="BS18" i="5" a="1"/>
  <c r="BS18" i="5" s="1"/>
  <c r="BY18" i="5" a="1"/>
  <c r="BY18" i="5" s="1"/>
  <c r="BZ18" i="5" a="1"/>
  <c r="BZ18" i="5" s="1"/>
  <c r="BQ18" i="5" a="1"/>
  <c r="BQ18" i="5" s="1"/>
  <c r="BU18" i="5" a="1"/>
  <c r="BU18" i="5" s="1"/>
  <c r="DX20" i="5" a="1"/>
  <c r="DX20" i="5" s="1"/>
  <c r="DY20" i="5" a="1"/>
  <c r="DY20" i="5" s="1"/>
  <c r="EC20" i="5" a="1"/>
  <c r="EC20" i="5" s="1"/>
  <c r="DZ20" i="5" a="1"/>
  <c r="DZ20" i="5" s="1"/>
  <c r="DT20" i="5" a="1"/>
  <c r="DT20" i="5" s="1"/>
  <c r="EA20" i="5" a="1"/>
  <c r="EA20" i="5" s="1"/>
  <c r="DU20" i="5" a="1"/>
  <c r="DU20" i="5" s="1"/>
  <c r="DW20" i="5" a="1"/>
  <c r="DW20" i="5" s="1"/>
  <c r="DV20" i="5" a="1"/>
  <c r="DV20" i="5" s="1"/>
  <c r="EB20" i="5" a="1"/>
  <c r="EB20" i="5" s="1"/>
  <c r="ED20" i="5" a="1"/>
  <c r="ED20" i="5" s="1"/>
  <c r="DS20" i="5" a="1"/>
  <c r="DS20" i="5" s="1"/>
  <c r="EC19" i="5" a="1"/>
  <c r="EC19" i="5" s="1"/>
  <c r="DS19" i="5" a="1"/>
  <c r="DS19" i="5" s="1"/>
  <c r="EA19" i="5" a="1"/>
  <c r="EA19" i="5" s="1"/>
  <c r="DW19" i="5" a="1"/>
  <c r="DW19" i="5" s="1"/>
  <c r="ED19" i="5" a="1"/>
  <c r="ED19" i="5" s="1"/>
  <c r="DX19" i="5" a="1"/>
  <c r="DX19" i="5" s="1"/>
  <c r="DY19" i="5" a="1"/>
  <c r="DY19" i="5" s="1"/>
  <c r="DZ19" i="5" a="1"/>
  <c r="DZ19" i="5" s="1"/>
  <c r="DT19" i="5" a="1"/>
  <c r="DT19" i="5" s="1"/>
  <c r="DV19" i="5" a="1"/>
  <c r="DV19" i="5" s="1"/>
  <c r="EB19" i="5" a="1"/>
  <c r="EB19" i="5" s="1"/>
  <c r="DU19" i="5" a="1"/>
  <c r="DU19" i="5" s="1"/>
  <c r="BX19" i="5" a="1"/>
  <c r="BX19" i="5" s="1"/>
  <c r="BR19" i="5" a="1"/>
  <c r="BR19" i="5" s="1"/>
  <c r="BS19" i="5" a="1"/>
  <c r="BS19" i="5" s="1"/>
  <c r="BY19" i="5" a="1"/>
  <c r="BY19" i="5" s="1"/>
  <c r="BT19" i="5" a="1"/>
  <c r="BT19" i="5" s="1"/>
  <c r="BZ19" i="5" a="1"/>
  <c r="BZ19" i="5" s="1"/>
  <c r="CA19" i="5" a="1"/>
  <c r="CA19" i="5" s="1"/>
  <c r="BV19" i="5" a="1"/>
  <c r="BV19" i="5" s="1"/>
  <c r="BU19" i="5" a="1"/>
  <c r="BU19" i="5" s="1"/>
  <c r="CB19" i="5" a="1"/>
  <c r="CB19" i="5" s="1"/>
  <c r="BW19" i="5" a="1"/>
  <c r="BW19" i="5" s="1"/>
  <c r="BQ19" i="5" a="1"/>
  <c r="BQ19" i="5" s="1"/>
  <c r="EA21" i="5" a="1"/>
  <c r="EA21" i="5" s="1"/>
  <c r="DS21" i="5" a="1"/>
  <c r="DS21" i="5" s="1"/>
  <c r="DU21" i="5" a="1"/>
  <c r="DU21" i="5" s="1"/>
  <c r="EB21" i="5" a="1"/>
  <c r="EB21" i="5" s="1"/>
  <c r="DV21" i="5" a="1"/>
  <c r="DV21" i="5" s="1"/>
  <c r="DW21" i="5" a="1"/>
  <c r="DW21" i="5" s="1"/>
  <c r="EC21" i="5" a="1"/>
  <c r="EC21" i="5" s="1"/>
  <c r="DY21" i="5" a="1"/>
  <c r="DY21" i="5" s="1"/>
  <c r="DX21" i="5" a="1"/>
  <c r="DX21" i="5" s="1"/>
  <c r="ED21" i="5" a="1"/>
  <c r="ED21" i="5" s="1"/>
  <c r="DT21" i="5" a="1"/>
  <c r="DT21" i="5" s="1"/>
  <c r="DZ21" i="5" a="1"/>
  <c r="DZ21" i="5" s="1"/>
  <c r="BU21" i="5" a="1"/>
  <c r="BU21" i="5" s="1"/>
  <c r="CA21" i="5" a="1"/>
  <c r="CA21" i="5" s="1"/>
  <c r="BZ21" i="5" a="1"/>
  <c r="BZ21" i="5" s="1"/>
  <c r="BV21" i="5" a="1"/>
  <c r="BV21" i="5" s="1"/>
  <c r="CB21" i="5" a="1"/>
  <c r="CB21" i="5" s="1"/>
  <c r="BW21" i="5" a="1"/>
  <c r="BW21" i="5" s="1"/>
  <c r="BR21" i="5" a="1"/>
  <c r="BR21" i="5" s="1"/>
  <c r="BX21" i="5" a="1"/>
  <c r="BX21" i="5" s="1"/>
  <c r="BY21" i="5" a="1"/>
  <c r="BY21" i="5" s="1"/>
  <c r="BT21" i="5" a="1"/>
  <c r="BT21" i="5" s="1"/>
  <c r="BQ21" i="5" a="1"/>
  <c r="BQ21" i="5" s="1"/>
  <c r="BS21" i="5" a="1"/>
  <c r="BS21" i="5" s="1"/>
  <c r="BV17" i="5" a="1"/>
  <c r="BV17" i="5" s="1"/>
  <c r="CB17" i="5" a="1"/>
  <c r="CB17" i="5" s="1"/>
  <c r="BW17" i="5" a="1"/>
  <c r="BW17" i="5" s="1"/>
  <c r="BQ17" i="5" a="1"/>
  <c r="BQ17" i="5" s="1"/>
  <c r="BT17" i="5" a="1"/>
  <c r="BT17" i="5" s="1"/>
  <c r="BR17" i="5" a="1"/>
  <c r="BR17" i="5" s="1"/>
  <c r="BX17" i="5" a="1"/>
  <c r="BX17" i="5" s="1"/>
  <c r="CA17" i="5" a="1"/>
  <c r="CA17" i="5" s="1"/>
  <c r="BY17" i="5" a="1"/>
  <c r="BY17" i="5" s="1"/>
  <c r="BU17" i="5" a="1"/>
  <c r="BU17" i="5" s="1"/>
  <c r="BS17" i="5" a="1"/>
  <c r="BS17" i="5" s="1"/>
  <c r="BZ17" i="5" a="1"/>
  <c r="BZ17" i="5" s="1"/>
  <c r="BW16" i="5" a="1"/>
  <c r="BW16" i="5" s="1"/>
  <c r="BQ16" i="5" a="1"/>
  <c r="BQ16" i="5" s="1"/>
  <c r="BU16" i="5" a="1"/>
  <c r="BU16" i="5" s="1"/>
  <c r="BX16" i="5" a="1"/>
  <c r="BX16" i="5" s="1"/>
  <c r="CB16" i="5" a="1"/>
  <c r="CB16" i="5" s="1"/>
  <c r="BY16" i="5" a="1"/>
  <c r="BY16" i="5" s="1"/>
  <c r="BR16" i="5" a="1"/>
  <c r="BR16" i="5" s="1"/>
  <c r="BZ16" i="5" a="1"/>
  <c r="BZ16" i="5" s="1"/>
  <c r="BS16" i="5" a="1"/>
  <c r="BS16" i="5" s="1"/>
  <c r="CA16" i="5" a="1"/>
  <c r="CA16" i="5" s="1"/>
  <c r="BV16" i="5" a="1"/>
  <c r="BV16" i="5" s="1"/>
  <c r="BT16" i="5" a="1"/>
  <c r="BT16" i="5" s="1"/>
  <c r="DR16" i="5" a="1"/>
  <c r="DR16" i="5" s="1"/>
  <c r="DR22" i="5" a="1"/>
  <c r="DR22" i="5" s="1"/>
  <c r="DR17" i="5" a="1"/>
  <c r="DR17" i="5" s="1"/>
  <c r="AV20" i="5"/>
  <c r="AV21" i="5"/>
  <c r="AV18" i="5"/>
  <c r="AV19" i="5"/>
  <c r="DT22" i="5" l="1" a="1"/>
  <c r="DT22" i="5" s="1"/>
  <c r="DZ22" i="5" a="1"/>
  <c r="DZ22" i="5" s="1"/>
  <c r="DU22" i="5" a="1"/>
  <c r="DU22" i="5" s="1"/>
  <c r="EB22" i="5" a="1"/>
  <c r="EB22" i="5" s="1"/>
  <c r="EC22" i="5" a="1"/>
  <c r="EC22" i="5" s="1"/>
  <c r="DY22" i="5" a="1"/>
  <c r="DY22" i="5" s="1"/>
  <c r="DV22" i="5" a="1"/>
  <c r="DV22" i="5" s="1"/>
  <c r="DS22" i="5" a="1"/>
  <c r="DS22" i="5" s="1"/>
  <c r="DW22" i="5" a="1"/>
  <c r="DW22" i="5" s="1"/>
  <c r="DX22" i="5" a="1"/>
  <c r="DX22" i="5" s="1"/>
  <c r="ED22" i="5" a="1"/>
  <c r="ED22" i="5" s="1"/>
  <c r="EA22" i="5" a="1"/>
  <c r="EA22" i="5" s="1"/>
  <c r="DV17" i="5" a="1"/>
  <c r="DV17" i="5" s="1"/>
  <c r="DW17" i="5" a="1"/>
  <c r="DW17" i="5" s="1"/>
  <c r="EC17" i="5" a="1"/>
  <c r="EC17" i="5" s="1"/>
  <c r="DS17" i="5" a="1"/>
  <c r="DS17" i="5" s="1"/>
  <c r="DU17" i="5" a="1"/>
  <c r="DU17" i="5" s="1"/>
  <c r="DX17" i="5" a="1"/>
  <c r="DX17" i="5" s="1"/>
  <c r="ED17" i="5" a="1"/>
  <c r="ED17" i="5" s="1"/>
  <c r="EB17" i="5" a="1"/>
  <c r="EB17" i="5" s="1"/>
  <c r="DY17" i="5" a="1"/>
  <c r="DY17" i="5" s="1"/>
  <c r="DT17" i="5" a="1"/>
  <c r="DT17" i="5" s="1"/>
  <c r="DZ17" i="5" a="1"/>
  <c r="DZ17" i="5" s="1"/>
  <c r="EA17" i="5" a="1"/>
  <c r="EA17" i="5" s="1"/>
  <c r="EA16" i="5" a="1"/>
  <c r="EA16" i="5" s="1"/>
  <c r="DT16" i="5" a="1"/>
  <c r="DT16" i="5" s="1"/>
  <c r="EB16" i="5" a="1"/>
  <c r="EB16" i="5" s="1"/>
  <c r="DU16" i="5" a="1"/>
  <c r="DU16" i="5" s="1"/>
  <c r="EC16" i="5" a="1"/>
  <c r="EC16" i="5" s="1"/>
  <c r="DV16" i="5" a="1"/>
  <c r="DV16" i="5" s="1"/>
  <c r="ED16" i="5" a="1"/>
  <c r="ED16" i="5" s="1"/>
  <c r="DX16" i="5" a="1"/>
  <c r="DX16" i="5" s="1"/>
  <c r="DY16" i="5" a="1"/>
  <c r="DY16" i="5" s="1"/>
  <c r="DW16" i="5" a="1"/>
  <c r="DW16" i="5" s="1"/>
  <c r="DS16" i="5" a="1"/>
  <c r="DS16" i="5" s="1"/>
  <c r="DZ16" i="5" a="1"/>
  <c r="DZ16" i="5" s="1"/>
  <c r="AV16" i="5"/>
  <c r="AV22" i="5"/>
  <c r="AV17" i="5"/>
  <c r="EE18" i="5"/>
  <c r="EN18" i="5" s="1"/>
  <c r="EE19" i="5"/>
  <c r="EN19" i="5" s="1"/>
  <c r="EE20" i="5"/>
  <c r="EN20" i="5" s="1"/>
  <c r="EE21" i="5"/>
  <c r="EN21" i="5" s="1"/>
  <c r="DQ13" i="5" a="1"/>
  <c r="DQ13" i="5" s="1"/>
  <c r="DG13" i="5"/>
  <c r="EE16" i="5" l="1"/>
  <c r="EN16" i="5" s="1"/>
  <c r="EE17" i="5"/>
  <c r="EN17" i="5" s="1"/>
  <c r="EE22" i="5"/>
  <c r="EN22" i="5" s="1"/>
  <c r="CC22" i="5"/>
  <c r="CH22" i="5" s="1"/>
  <c r="CC17" i="5"/>
  <c r="CH17" i="5" s="1"/>
  <c r="CC26" i="5"/>
  <c r="CH26" i="5" s="1"/>
  <c r="CC24" i="5"/>
  <c r="CH24" i="5" s="1"/>
  <c r="CC27" i="5"/>
  <c r="CH27" i="5" s="1"/>
  <c r="CC25" i="5"/>
  <c r="CH25" i="5" s="1"/>
  <c r="CC21" i="5"/>
  <c r="CH21" i="5" s="1"/>
  <c r="CC23" i="5"/>
  <c r="CH23" i="5" s="1"/>
  <c r="CC20" i="5"/>
  <c r="CH20" i="5" s="1"/>
  <c r="CC16" i="5"/>
  <c r="CH16" i="5" s="1"/>
  <c r="CC18" i="5"/>
  <c r="CH18" i="5" s="1"/>
  <c r="CC19" i="5"/>
  <c r="CH19" i="5" s="1"/>
  <c r="EF26" i="5" l="1"/>
  <c r="EO26" i="5" s="1"/>
  <c r="EF16" i="5"/>
  <c r="EO16" i="5" s="1"/>
  <c r="CY16" i="5"/>
  <c r="CY21" i="5"/>
  <c r="EF21" i="5"/>
  <c r="EO21" i="5" s="1"/>
  <c r="CY25" i="5"/>
  <c r="EF23" i="5"/>
  <c r="EO23" i="5" s="1"/>
  <c r="EF19" i="5"/>
  <c r="EO19" i="5" s="1"/>
  <c r="EF22" i="5"/>
  <c r="EO22" i="5" s="1"/>
  <c r="CY24" i="5"/>
  <c r="EF24" i="5"/>
  <c r="EO24" i="5" s="1"/>
  <c r="CY18" i="5"/>
  <c r="EF20" i="5"/>
  <c r="EO20" i="5" s="1"/>
  <c r="CY22" i="5"/>
  <c r="CY27" i="5"/>
  <c r="EF17" i="5"/>
  <c r="EO17" i="5" s="1"/>
  <c r="CY19" i="5"/>
  <c r="CY26" i="5"/>
  <c r="CY23" i="5"/>
  <c r="EF25" i="5"/>
  <c r="EO25" i="5" s="1"/>
  <c r="CY20" i="5"/>
  <c r="EF27" i="5"/>
  <c r="EO27" i="5" s="1"/>
  <c r="CY17" i="5"/>
  <c r="EF18" i="5"/>
  <c r="EO18" i="5" s="1"/>
  <c r="CK27" i="5" l="1"/>
  <c r="CL27" i="5"/>
  <c r="CI27" i="5"/>
  <c r="DB27" i="5" s="1"/>
  <c r="CI25" i="5"/>
  <c r="DB25" i="5" s="1"/>
  <c r="CL25" i="5"/>
  <c r="CK25" i="5"/>
  <c r="CI19" i="5"/>
  <c r="DB19" i="5" s="1"/>
  <c r="CK19" i="5"/>
  <c r="CL19" i="5"/>
  <c r="CK24" i="5"/>
  <c r="CI24" i="5"/>
  <c r="DB24" i="5" s="1"/>
  <c r="CL24" i="5"/>
  <c r="CK20" i="5"/>
  <c r="CL20" i="5"/>
  <c r="CI20" i="5"/>
  <c r="DB20" i="5" s="1"/>
  <c r="CK23" i="5"/>
  <c r="CL23" i="5"/>
  <c r="CI23" i="5"/>
  <c r="DB23" i="5" s="1"/>
  <c r="CL18" i="5"/>
  <c r="CK18" i="5"/>
  <c r="CI18" i="5"/>
  <c r="DB18" i="5" s="1"/>
  <c r="CL21" i="5"/>
  <c r="CI21" i="5"/>
  <c r="DB21" i="5" s="1"/>
  <c r="CK21" i="5"/>
  <c r="CL17" i="5"/>
  <c r="CI17" i="5"/>
  <c r="DB17" i="5" s="1"/>
  <c r="CK17" i="5"/>
  <c r="CI26" i="5"/>
  <c r="DB26" i="5" s="1"/>
  <c r="CK26" i="5"/>
  <c r="CL26" i="5"/>
  <c r="CL16" i="5"/>
  <c r="CK16" i="5"/>
  <c r="CI16" i="5"/>
  <c r="DB16" i="5" s="1"/>
  <c r="CL22" i="5"/>
  <c r="CI22" i="5"/>
  <c r="DB22" i="5" s="1"/>
  <c r="CK22" i="5"/>
  <c r="DI13" i="5" a="1"/>
  <c r="DI13" i="5" s="1"/>
  <c r="DJ13" i="5" s="1"/>
  <c r="DR13" i="5" s="1" a="1"/>
  <c r="DR13" i="5" s="1"/>
  <c r="DS13" i="5" s="1" a="1"/>
  <c r="DS13" i="5" s="1"/>
  <c r="DZ13" i="5" l="1" a="1"/>
  <c r="DZ13" i="5" s="1"/>
  <c r="DT13" i="5" a="1"/>
  <c r="DT13" i="5" s="1"/>
  <c r="EA13" i="5" a="1"/>
  <c r="EA13" i="5" s="1"/>
  <c r="DU13" i="5" a="1"/>
  <c r="DU13" i="5" s="1"/>
  <c r="EB13" i="5" a="1"/>
  <c r="EB13" i="5" s="1"/>
  <c r="DV13" i="5" a="1"/>
  <c r="DV13" i="5" s="1"/>
  <c r="EC13" i="5" a="1"/>
  <c r="EC13" i="5" s="1"/>
  <c r="DW13" i="5" a="1"/>
  <c r="DW13" i="5" s="1"/>
  <c r="ED13" i="5" a="1"/>
  <c r="ED13" i="5" s="1"/>
  <c r="DX13" i="5" a="1"/>
  <c r="DX13" i="5" s="1"/>
  <c r="DY13" i="5" a="1"/>
  <c r="DY13" i="5" s="1"/>
  <c r="DI14" i="5"/>
  <c r="ET14" i="5" l="1" a="1"/>
  <c r="ET14" i="5" s="1"/>
  <c r="ER14" i="5" a="1"/>
  <c r="ER14" i="5" s="1"/>
  <c r="CQ14" i="5" a="1"/>
  <c r="CQ14" i="5" s="1"/>
  <c r="P14" i="5"/>
  <c r="R14" i="5" s="1"/>
  <c r="H14" i="5" a="1"/>
  <c r="H14" i="5" s="1"/>
  <c r="E14" i="5" a="1"/>
  <c r="E14" i="5" s="1"/>
  <c r="D14" i="5" s="1" a="1"/>
  <c r="D14" i="5" s="1"/>
  <c r="V14" i="5" l="1"/>
  <c r="DJ1" i="5" l="1"/>
  <c r="DD14" i="5" l="1"/>
  <c r="CF14" i="5" l="1"/>
  <c r="M14" i="5"/>
  <c r="EK14" i="5" l="1"/>
  <c r="EH14" i="5"/>
  <c r="CG14" i="5" l="1"/>
  <c r="EJ14" i="5"/>
  <c r="EI14" i="5"/>
  <c r="EL14" i="5"/>
  <c r="EM14" i="5" l="1"/>
  <c r="Z14" i="5" l="1"/>
  <c r="AA14" i="5"/>
  <c r="AB14" i="5" l="1"/>
  <c r="CE14" i="5" l="1"/>
  <c r="CD14" i="5"/>
  <c r="DG14" i="5" l="1"/>
  <c r="DJ14" i="5" l="1"/>
  <c r="BN14" i="5"/>
  <c r="BP14" i="5"/>
  <c r="DV14" i="5" l="1"/>
  <c r="DZ14" i="5"/>
  <c r="DR14" i="5"/>
  <c r="DY14" i="5"/>
  <c r="EC14" i="5"/>
  <c r="DX14" i="5"/>
  <c r="EB14" i="5"/>
  <c r="DU14" i="5"/>
  <c r="DW14" i="5"/>
  <c r="ED14" i="5"/>
  <c r="EA14" i="5"/>
  <c r="DT14" i="5"/>
  <c r="BV14" i="5"/>
  <c r="CB14" i="5"/>
  <c r="CA14" i="5"/>
  <c r="BZ14" i="5"/>
  <c r="BW14" i="5"/>
  <c r="BX14" i="5"/>
  <c r="BR14" i="5"/>
  <c r="BS14" i="5"/>
  <c r="BT14" i="5"/>
  <c r="BU14" i="5"/>
  <c r="BY14" i="5"/>
  <c r="DS14" i="5" l="1"/>
  <c r="BQ14" i="5"/>
  <c r="CC14" i="5" l="1"/>
  <c r="EN14" i="5"/>
  <c r="EE14" i="5"/>
  <c r="EF14" i="5" l="1"/>
  <c r="EO14" i="5"/>
  <c r="CL14" i="5"/>
  <c r="CK14" i="5"/>
  <c r="CH14" i="5"/>
  <c r="DB14" i="5" l="1"/>
  <c r="CI14"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<sst xmlns="http://schemas.openxmlformats.org/spreadsheetml/2006/main" count="269" uniqueCount="175">
  <si>
    <t>Кол-во дней размещения</t>
  </si>
  <si>
    <t>Наименование</t>
  </si>
  <si>
    <t>№</t>
  </si>
  <si>
    <t>Фото</t>
  </si>
  <si>
    <t>Хронометраж, сек</t>
  </si>
  <si>
    <t>Размер блока, сек</t>
  </si>
  <si>
    <t>Кол-во выходов в блоке</t>
  </si>
  <si>
    <t>Время работы</t>
  </si>
  <si>
    <t>Кол-во показов в день</t>
  </si>
  <si>
    <t>Кол-во минут в день</t>
  </si>
  <si>
    <t>Кол-во показов за период</t>
  </si>
  <si>
    <t>Кол-во минут за период</t>
  </si>
  <si>
    <t>Кол-во часов работы</t>
  </si>
  <si>
    <t xml:space="preserve"> </t>
  </si>
  <si>
    <t>ТТ</t>
  </si>
  <si>
    <t>Подрядчик</t>
  </si>
  <si>
    <t>Комментарии</t>
  </si>
  <si>
    <t>Материал</t>
  </si>
  <si>
    <t>Свет</t>
  </si>
  <si>
    <t>DL 
согласования креатива РИМ</t>
  </si>
  <si>
    <t>DL 
предоставления РИМ</t>
  </si>
  <si>
    <t>Тип</t>
  </si>
  <si>
    <t>Формат</t>
  </si>
  <si>
    <t>Вид</t>
  </si>
  <si>
    <t>Расположение</t>
  </si>
  <si>
    <t>Доля эфира, 
%</t>
  </si>
  <si>
    <t>Назначение</t>
  </si>
  <si>
    <t>Регион/
область</t>
  </si>
  <si>
    <t>Звук</t>
  </si>
  <si>
    <t>МСЯЦЕВ</t>
  </si>
  <si>
    <t>DL 
отказа без штрафов</t>
  </si>
  <si>
    <t>Отчет
(объем, форма, сроки)</t>
  </si>
  <si>
    <t>Условия 
оплаты</t>
  </si>
  <si>
    <t>Юр.лицо</t>
  </si>
  <si>
    <t>Скидка</t>
  </si>
  <si>
    <t>ПОДСВЕТКА:</t>
  </si>
  <si>
    <t>ВКЛ</t>
  </si>
  <si>
    <t>ГЕО/привязка:</t>
  </si>
  <si>
    <t>Период:</t>
  </si>
  <si>
    <t>Формат:</t>
  </si>
  <si>
    <t>ПРИМЕЧАНИЕ:</t>
  </si>
  <si>
    <t>Примечание</t>
  </si>
  <si>
    <t>Трафик, чел./месяц</t>
  </si>
  <si>
    <t>OTS, daily</t>
  </si>
  <si>
    <t>OTS, month</t>
  </si>
  <si>
    <t>CPT</t>
  </si>
  <si>
    <t>Описание</t>
  </si>
  <si>
    <t>GID</t>
  </si>
  <si>
    <t>GRP</t>
  </si>
  <si>
    <t>Округ/регион</t>
  </si>
  <si>
    <t>Площадь, кв.м</t>
  </si>
  <si>
    <t>Размер, 
м</t>
  </si>
  <si>
    <t>Разрешение, 
pix</t>
  </si>
  <si>
    <t>Дата 
начала</t>
  </si>
  <si>
    <t>Дата окончания</t>
  </si>
  <si>
    <r>
      <t xml:space="preserve">Стоимость </t>
    </r>
    <r>
      <rPr>
        <b/>
        <sz val="10"/>
        <color theme="0"/>
        <rFont val="Calibri"/>
        <family val="2"/>
        <charset val="204"/>
        <scheme val="minor"/>
      </rPr>
      <t xml:space="preserve">за </t>
    </r>
    <r>
      <rPr>
        <b/>
        <sz val="10"/>
        <color rgb="FFFFFF00"/>
        <rFont val="Calibri"/>
        <family val="2"/>
        <charset val="204"/>
        <scheme val="minor"/>
      </rPr>
      <t xml:space="preserve">
РАЗМЕЩЕНИЕ
(ЯНВАРЬ), 
</t>
    </r>
    <r>
      <rPr>
        <b/>
        <sz val="10"/>
        <color theme="0"/>
        <rFont val="Calibri"/>
        <family val="2"/>
        <scheme val="minor"/>
      </rPr>
      <t xml:space="preserve">руб., </t>
    </r>
    <r>
      <rPr>
        <b/>
        <sz val="10"/>
        <color rgb="FFFFFF00"/>
        <rFont val="Calibri"/>
        <family val="2"/>
        <charset val="204"/>
        <scheme val="minor"/>
      </rPr>
      <t>NET</t>
    </r>
  </si>
  <si>
    <r>
      <t xml:space="preserve">Стоимость </t>
    </r>
    <r>
      <rPr>
        <b/>
        <sz val="10"/>
        <color theme="0"/>
        <rFont val="Calibri"/>
        <family val="2"/>
        <charset val="204"/>
        <scheme val="minor"/>
      </rPr>
      <t xml:space="preserve">за </t>
    </r>
    <r>
      <rPr>
        <b/>
        <sz val="10"/>
        <color rgb="FFFFFF00"/>
        <rFont val="Calibri"/>
        <family val="2"/>
        <charset val="204"/>
        <scheme val="minor"/>
      </rPr>
      <t xml:space="preserve">
РАЗМЕЩЕНИЕ
(ФЕВРАЛЬ), 
</t>
    </r>
    <r>
      <rPr>
        <b/>
        <sz val="10"/>
        <color theme="0"/>
        <rFont val="Calibri"/>
        <family val="2"/>
        <scheme val="minor"/>
      </rPr>
      <t xml:space="preserve">руб., </t>
    </r>
    <r>
      <rPr>
        <b/>
        <sz val="10"/>
        <color rgb="FFFFFF00"/>
        <rFont val="Calibri"/>
        <family val="2"/>
        <charset val="204"/>
        <scheme val="minor"/>
      </rPr>
      <t>NET</t>
    </r>
  </si>
  <si>
    <r>
      <t xml:space="preserve">Стоимость </t>
    </r>
    <r>
      <rPr>
        <b/>
        <sz val="10"/>
        <color theme="0"/>
        <rFont val="Calibri"/>
        <family val="2"/>
        <charset val="204"/>
        <scheme val="minor"/>
      </rPr>
      <t xml:space="preserve">за </t>
    </r>
    <r>
      <rPr>
        <b/>
        <sz val="10"/>
        <color rgb="FFFFFF00"/>
        <rFont val="Calibri"/>
        <family val="2"/>
        <charset val="204"/>
        <scheme val="minor"/>
      </rPr>
      <t xml:space="preserve">
РАЗМЕЩЕНИЕ
(МАРТ), 
</t>
    </r>
    <r>
      <rPr>
        <b/>
        <sz val="10"/>
        <color theme="0"/>
        <rFont val="Calibri"/>
        <family val="2"/>
        <scheme val="minor"/>
      </rPr>
      <t xml:space="preserve">руб., </t>
    </r>
    <r>
      <rPr>
        <b/>
        <sz val="10"/>
        <color rgb="FFFFFF00"/>
        <rFont val="Calibri"/>
        <family val="2"/>
        <charset val="204"/>
        <scheme val="minor"/>
      </rPr>
      <t>NET</t>
    </r>
  </si>
  <si>
    <r>
      <t xml:space="preserve">Стоимость </t>
    </r>
    <r>
      <rPr>
        <b/>
        <sz val="10"/>
        <color theme="0"/>
        <rFont val="Calibri"/>
        <family val="2"/>
        <charset val="204"/>
        <scheme val="minor"/>
      </rPr>
      <t xml:space="preserve">за </t>
    </r>
    <r>
      <rPr>
        <b/>
        <sz val="10"/>
        <color rgb="FFFFFF00"/>
        <rFont val="Calibri"/>
        <family val="2"/>
        <charset val="204"/>
        <scheme val="minor"/>
      </rPr>
      <t xml:space="preserve">
РАЗМЕЩЕНИЕ
(АПРЕЛЬ), 
</t>
    </r>
    <r>
      <rPr>
        <b/>
        <sz val="10"/>
        <color theme="0"/>
        <rFont val="Calibri"/>
        <family val="2"/>
        <scheme val="minor"/>
      </rPr>
      <t xml:space="preserve">руб., </t>
    </r>
    <r>
      <rPr>
        <b/>
        <sz val="10"/>
        <color rgb="FFFFFF00"/>
        <rFont val="Calibri"/>
        <family val="2"/>
        <charset val="204"/>
        <scheme val="minor"/>
      </rPr>
      <t>NET</t>
    </r>
  </si>
  <si>
    <r>
      <t xml:space="preserve">Стоимость </t>
    </r>
    <r>
      <rPr>
        <b/>
        <sz val="10"/>
        <color theme="0"/>
        <rFont val="Calibri"/>
        <family val="2"/>
        <charset val="204"/>
        <scheme val="minor"/>
      </rPr>
      <t xml:space="preserve">за </t>
    </r>
    <r>
      <rPr>
        <b/>
        <sz val="10"/>
        <color rgb="FFFFFF00"/>
        <rFont val="Calibri"/>
        <family val="2"/>
        <charset val="204"/>
        <scheme val="minor"/>
      </rPr>
      <t xml:space="preserve">
РАЗМЕЩЕНИЕ
(МАЙ), 
</t>
    </r>
    <r>
      <rPr>
        <b/>
        <sz val="10"/>
        <color theme="0"/>
        <rFont val="Calibri"/>
        <family val="2"/>
        <scheme val="minor"/>
      </rPr>
      <t xml:space="preserve">руб., </t>
    </r>
    <r>
      <rPr>
        <b/>
        <sz val="10"/>
        <color rgb="FFFFFF00"/>
        <rFont val="Calibri"/>
        <family val="2"/>
        <charset val="204"/>
        <scheme val="minor"/>
      </rPr>
      <t>NET</t>
    </r>
  </si>
  <si>
    <r>
      <t xml:space="preserve">Стоимость </t>
    </r>
    <r>
      <rPr>
        <b/>
        <sz val="10"/>
        <color theme="0"/>
        <rFont val="Calibri"/>
        <family val="2"/>
        <charset val="204"/>
        <scheme val="minor"/>
      </rPr>
      <t xml:space="preserve">за </t>
    </r>
    <r>
      <rPr>
        <b/>
        <sz val="10"/>
        <color rgb="FFFFFF00"/>
        <rFont val="Calibri"/>
        <family val="2"/>
        <charset val="204"/>
        <scheme val="minor"/>
      </rPr>
      <t xml:space="preserve">
РАЗМЕЩЕНИЕ
(ИЮНЬ), 
</t>
    </r>
    <r>
      <rPr>
        <b/>
        <sz val="10"/>
        <color theme="0"/>
        <rFont val="Calibri"/>
        <family val="2"/>
        <scheme val="minor"/>
      </rPr>
      <t xml:space="preserve">руб., </t>
    </r>
    <r>
      <rPr>
        <b/>
        <sz val="10"/>
        <color rgb="FFFFFF00"/>
        <rFont val="Calibri"/>
        <family val="2"/>
        <charset val="204"/>
        <scheme val="minor"/>
      </rPr>
      <t>NET</t>
    </r>
  </si>
  <si>
    <r>
      <t xml:space="preserve">Стоимость </t>
    </r>
    <r>
      <rPr>
        <b/>
        <sz val="10"/>
        <color theme="0"/>
        <rFont val="Calibri"/>
        <family val="2"/>
        <charset val="204"/>
        <scheme val="minor"/>
      </rPr>
      <t xml:space="preserve">за </t>
    </r>
    <r>
      <rPr>
        <b/>
        <sz val="10"/>
        <color rgb="FFFFFF00"/>
        <rFont val="Calibri"/>
        <family val="2"/>
        <charset val="204"/>
        <scheme val="minor"/>
      </rPr>
      <t xml:space="preserve">
РАЗМЕЩЕНИЕ
(ИЮЛЬ), 
</t>
    </r>
    <r>
      <rPr>
        <b/>
        <sz val="10"/>
        <color theme="0"/>
        <rFont val="Calibri"/>
        <family val="2"/>
        <scheme val="minor"/>
      </rPr>
      <t xml:space="preserve">руб., </t>
    </r>
    <r>
      <rPr>
        <b/>
        <sz val="10"/>
        <color rgb="FFFFFF00"/>
        <rFont val="Calibri"/>
        <family val="2"/>
        <charset val="204"/>
        <scheme val="minor"/>
      </rPr>
      <t>NET</t>
    </r>
  </si>
  <si>
    <r>
      <t xml:space="preserve">Стоимость </t>
    </r>
    <r>
      <rPr>
        <b/>
        <sz val="10"/>
        <color theme="0"/>
        <rFont val="Calibri"/>
        <family val="2"/>
        <charset val="204"/>
        <scheme val="minor"/>
      </rPr>
      <t xml:space="preserve">за </t>
    </r>
    <r>
      <rPr>
        <b/>
        <sz val="10"/>
        <color rgb="FFFFFF00"/>
        <rFont val="Calibri"/>
        <family val="2"/>
        <charset val="204"/>
        <scheme val="minor"/>
      </rPr>
      <t xml:space="preserve">
РАЗМЕЩЕНИЕ
(АВГУСТ), 
</t>
    </r>
    <r>
      <rPr>
        <b/>
        <sz val="10"/>
        <color theme="0"/>
        <rFont val="Calibri"/>
        <family val="2"/>
        <scheme val="minor"/>
      </rPr>
      <t xml:space="preserve">руб., </t>
    </r>
    <r>
      <rPr>
        <b/>
        <sz val="10"/>
        <color rgb="FFFFFF00"/>
        <rFont val="Calibri"/>
        <family val="2"/>
        <charset val="204"/>
        <scheme val="minor"/>
      </rPr>
      <t>NET</t>
    </r>
  </si>
  <si>
    <r>
      <t xml:space="preserve">Стоимость </t>
    </r>
    <r>
      <rPr>
        <b/>
        <sz val="10"/>
        <color theme="0"/>
        <rFont val="Calibri"/>
        <family val="2"/>
        <charset val="204"/>
        <scheme val="minor"/>
      </rPr>
      <t xml:space="preserve">за </t>
    </r>
    <r>
      <rPr>
        <b/>
        <sz val="10"/>
        <color rgb="FFFFFF00"/>
        <rFont val="Calibri"/>
        <family val="2"/>
        <charset val="204"/>
        <scheme val="minor"/>
      </rPr>
      <t xml:space="preserve">
РАЗМЕЩЕНИЕ
(СЕНТЯБРЬ), 
</t>
    </r>
    <r>
      <rPr>
        <b/>
        <sz val="10"/>
        <color theme="0"/>
        <rFont val="Calibri"/>
        <family val="2"/>
        <scheme val="minor"/>
      </rPr>
      <t xml:space="preserve">руб., </t>
    </r>
    <r>
      <rPr>
        <b/>
        <sz val="10"/>
        <color rgb="FFFFFF00"/>
        <rFont val="Calibri"/>
        <family val="2"/>
        <charset val="204"/>
        <scheme val="minor"/>
      </rPr>
      <t>NET</t>
    </r>
  </si>
  <si>
    <r>
      <t xml:space="preserve">Стоимость </t>
    </r>
    <r>
      <rPr>
        <b/>
        <sz val="10"/>
        <color theme="0"/>
        <rFont val="Calibri"/>
        <family val="2"/>
        <charset val="204"/>
        <scheme val="minor"/>
      </rPr>
      <t xml:space="preserve">за </t>
    </r>
    <r>
      <rPr>
        <b/>
        <sz val="10"/>
        <color rgb="FFFFFF00"/>
        <rFont val="Calibri"/>
        <family val="2"/>
        <charset val="204"/>
        <scheme val="minor"/>
      </rPr>
      <t xml:space="preserve">
РАЗМЕЩЕНИЕ
(ОКТЯБРЬ), 
</t>
    </r>
    <r>
      <rPr>
        <b/>
        <sz val="10"/>
        <color theme="0"/>
        <rFont val="Calibri"/>
        <family val="2"/>
        <scheme val="minor"/>
      </rPr>
      <t xml:space="preserve">руб., </t>
    </r>
    <r>
      <rPr>
        <b/>
        <sz val="10"/>
        <color rgb="FFFFFF00"/>
        <rFont val="Calibri"/>
        <family val="2"/>
        <charset val="204"/>
        <scheme val="minor"/>
      </rPr>
      <t>NET</t>
    </r>
  </si>
  <si>
    <r>
      <t xml:space="preserve">Стоимость </t>
    </r>
    <r>
      <rPr>
        <b/>
        <sz val="10"/>
        <color theme="0"/>
        <rFont val="Calibri"/>
        <family val="2"/>
        <charset val="204"/>
        <scheme val="minor"/>
      </rPr>
      <t xml:space="preserve">за </t>
    </r>
    <r>
      <rPr>
        <b/>
        <sz val="10"/>
        <color rgb="FFFFFF00"/>
        <rFont val="Calibri"/>
        <family val="2"/>
        <charset val="204"/>
        <scheme val="minor"/>
      </rPr>
      <t xml:space="preserve">
РАЗМЕЩЕНИЕ
(НОЯБРЬ), 
</t>
    </r>
    <r>
      <rPr>
        <b/>
        <sz val="10"/>
        <color theme="0"/>
        <rFont val="Calibri"/>
        <family val="2"/>
        <scheme val="minor"/>
      </rPr>
      <t xml:space="preserve">руб., </t>
    </r>
    <r>
      <rPr>
        <b/>
        <sz val="10"/>
        <color rgb="FFFFFF00"/>
        <rFont val="Calibri"/>
        <family val="2"/>
        <charset val="204"/>
        <scheme val="minor"/>
      </rPr>
      <t>NET</t>
    </r>
  </si>
  <si>
    <r>
      <t xml:space="preserve">Стоимость </t>
    </r>
    <r>
      <rPr>
        <b/>
        <sz val="10"/>
        <color theme="0"/>
        <rFont val="Calibri"/>
        <family val="2"/>
        <charset val="204"/>
        <scheme val="minor"/>
      </rPr>
      <t xml:space="preserve">за </t>
    </r>
    <r>
      <rPr>
        <b/>
        <sz val="10"/>
        <color rgb="FFFFFF00"/>
        <rFont val="Calibri"/>
        <family val="2"/>
        <charset val="204"/>
        <scheme val="minor"/>
      </rPr>
      <t xml:space="preserve">
РАЗМЕЩЕНИЕ
(ДЕКАБРЬ), 
</t>
    </r>
    <r>
      <rPr>
        <b/>
        <sz val="10"/>
        <color theme="0"/>
        <rFont val="Calibri"/>
        <family val="2"/>
        <scheme val="minor"/>
      </rPr>
      <t xml:space="preserve">руб., </t>
    </r>
    <r>
      <rPr>
        <b/>
        <sz val="10"/>
        <color rgb="FFFFFF00"/>
        <rFont val="Calibri"/>
        <family val="2"/>
        <charset val="204"/>
        <scheme val="minor"/>
      </rPr>
      <t>NET</t>
    </r>
  </si>
  <si>
    <r>
      <t xml:space="preserve">Стоимость за 
</t>
    </r>
    <r>
      <rPr>
        <b/>
        <sz val="10"/>
        <color rgb="FFFFFF00"/>
        <rFont val="Calibri"/>
        <family val="2"/>
        <charset val="204"/>
        <scheme val="minor"/>
      </rPr>
      <t xml:space="preserve">РАЗМЕЩЕНИЕ
С УЧЕТОМ СКИДКИ, 
</t>
    </r>
    <r>
      <rPr>
        <b/>
        <sz val="10"/>
        <color theme="0"/>
        <rFont val="Calibri"/>
        <family val="2"/>
        <scheme val="minor"/>
      </rPr>
      <t xml:space="preserve">руб., </t>
    </r>
    <r>
      <rPr>
        <b/>
        <sz val="10"/>
        <color rgb="FFFFFF00"/>
        <rFont val="Calibri"/>
        <family val="2"/>
        <charset val="204"/>
        <scheme val="minor"/>
      </rPr>
      <t>NET</t>
    </r>
  </si>
  <si>
    <r>
      <t xml:space="preserve">Единоразовая стоимость за
</t>
    </r>
    <r>
      <rPr>
        <b/>
        <sz val="11"/>
        <color rgb="FFFFFF00"/>
        <rFont val="Calibri"/>
        <family val="2"/>
        <charset val="204"/>
        <scheme val="minor"/>
      </rPr>
      <t>ПРОИЗВОДСТВО</t>
    </r>
    <r>
      <rPr>
        <b/>
        <sz val="11"/>
        <color theme="0"/>
        <rFont val="Calibri"/>
        <family val="2"/>
        <charset val="204"/>
        <scheme val="minor"/>
      </rPr>
      <t xml:space="preserve"> 
</t>
    </r>
    <r>
      <rPr>
        <b/>
        <sz val="11"/>
        <color rgb="FFFFFF00"/>
        <rFont val="Calibri"/>
        <family val="2"/>
        <charset val="204"/>
        <scheme val="minor"/>
      </rPr>
      <t xml:space="preserve">за ШТ., </t>
    </r>
    <r>
      <rPr>
        <b/>
        <sz val="11"/>
        <color theme="0"/>
        <rFont val="Calibri"/>
        <family val="2"/>
        <charset val="204"/>
        <scheme val="minor"/>
      </rPr>
      <t xml:space="preserve">
руб., </t>
    </r>
    <r>
      <rPr>
        <b/>
        <sz val="11"/>
        <color rgb="FFFFFF00"/>
        <rFont val="Calibri"/>
        <family val="2"/>
        <charset val="204"/>
        <scheme val="minor"/>
      </rPr>
      <t>NET</t>
    </r>
  </si>
  <si>
    <r>
      <t xml:space="preserve">Единоразовая стоимость за
</t>
    </r>
    <r>
      <rPr>
        <b/>
        <sz val="11"/>
        <color rgb="FFFFFF00"/>
        <rFont val="Calibri"/>
        <family val="2"/>
        <charset val="204"/>
        <scheme val="minor"/>
      </rPr>
      <t>ПРОИЗВОДСТВО</t>
    </r>
    <r>
      <rPr>
        <b/>
        <sz val="11"/>
        <color theme="0"/>
        <rFont val="Calibri"/>
        <family val="2"/>
        <charset val="204"/>
        <scheme val="minor"/>
      </rPr>
      <t xml:space="preserve"> 
</t>
    </r>
    <r>
      <rPr>
        <b/>
        <sz val="11"/>
        <color rgb="FFFFFF00"/>
        <rFont val="Calibri"/>
        <family val="2"/>
        <charset val="204"/>
        <scheme val="minor"/>
      </rPr>
      <t xml:space="preserve">за КОЛ-ВО, </t>
    </r>
    <r>
      <rPr>
        <b/>
        <sz val="11"/>
        <color theme="0"/>
        <rFont val="Calibri"/>
        <family val="2"/>
        <charset val="204"/>
        <scheme val="minor"/>
      </rPr>
      <t xml:space="preserve">
руб., </t>
    </r>
    <r>
      <rPr>
        <b/>
        <sz val="11"/>
        <color rgb="FFFFFF00"/>
        <rFont val="Calibri"/>
        <family val="2"/>
        <charset val="204"/>
        <scheme val="minor"/>
      </rPr>
      <t>NET</t>
    </r>
  </si>
  <si>
    <r>
      <t xml:space="preserve">Единоразовая стоимость за
</t>
    </r>
    <r>
      <rPr>
        <b/>
        <sz val="11"/>
        <color rgb="FFFFFF00"/>
        <rFont val="Calibri"/>
        <family val="2"/>
        <charset val="204"/>
        <scheme val="minor"/>
      </rPr>
      <t>МОНТАЖ,</t>
    </r>
    <r>
      <rPr>
        <b/>
        <sz val="11"/>
        <color theme="0"/>
        <rFont val="Calibri"/>
        <family val="2"/>
        <charset val="204"/>
        <scheme val="minor"/>
      </rPr>
      <t xml:space="preserve"> 
</t>
    </r>
    <r>
      <rPr>
        <b/>
        <sz val="11"/>
        <color rgb="FFFFFF00"/>
        <rFont val="Calibri"/>
        <family val="2"/>
        <charset val="204"/>
        <scheme val="minor"/>
      </rPr>
      <t xml:space="preserve">за ШТ., </t>
    </r>
    <r>
      <rPr>
        <b/>
        <sz val="11"/>
        <color theme="0"/>
        <rFont val="Calibri"/>
        <family val="2"/>
        <charset val="204"/>
        <scheme val="minor"/>
      </rPr>
      <t xml:space="preserve">
руб., </t>
    </r>
    <r>
      <rPr>
        <b/>
        <sz val="11"/>
        <color rgb="FFFFFF00"/>
        <rFont val="Calibri"/>
        <family val="2"/>
        <charset val="204"/>
        <scheme val="minor"/>
      </rPr>
      <t>NET</t>
    </r>
  </si>
  <si>
    <r>
      <t xml:space="preserve">Единоразовая стоимость за
</t>
    </r>
    <r>
      <rPr>
        <b/>
        <sz val="11"/>
        <color rgb="FFFFFF00"/>
        <rFont val="Calibri"/>
        <family val="2"/>
        <charset val="204"/>
        <scheme val="minor"/>
      </rPr>
      <t>МОНТАЖ,</t>
    </r>
    <r>
      <rPr>
        <b/>
        <sz val="11"/>
        <color theme="0"/>
        <rFont val="Calibri"/>
        <family val="2"/>
        <charset val="204"/>
        <scheme val="minor"/>
      </rPr>
      <t xml:space="preserve"> 
</t>
    </r>
    <r>
      <rPr>
        <b/>
        <sz val="11"/>
        <color rgb="FFFFFF00"/>
        <rFont val="Calibri"/>
        <family val="2"/>
        <charset val="204"/>
        <scheme val="minor"/>
      </rPr>
      <t xml:space="preserve">за КОЛ-ВО, </t>
    </r>
    <r>
      <rPr>
        <b/>
        <sz val="11"/>
        <color theme="0"/>
        <rFont val="Calibri"/>
        <family val="2"/>
        <charset val="204"/>
        <scheme val="minor"/>
      </rPr>
      <t xml:space="preserve">
руб., </t>
    </r>
    <r>
      <rPr>
        <b/>
        <sz val="11"/>
        <color rgb="FFFFFF00"/>
        <rFont val="Calibri"/>
        <family val="2"/>
        <charset val="204"/>
        <scheme val="minor"/>
      </rPr>
      <t>NET</t>
    </r>
  </si>
  <si>
    <t>Владение</t>
  </si>
  <si>
    <t>Широта</t>
  </si>
  <si>
    <t>Долгота</t>
  </si>
  <si>
    <r>
      <rPr>
        <b/>
        <sz val="14"/>
        <color rgb="FFFFFF00"/>
        <rFont val="Calibri"/>
        <family val="2"/>
        <charset val="204"/>
        <scheme val="minor"/>
      </rPr>
      <t xml:space="preserve">ИТОГО </t>
    </r>
    <r>
      <rPr>
        <b/>
        <sz val="10"/>
        <color theme="0"/>
        <rFont val="Calibri"/>
        <family val="2"/>
        <scheme val="minor"/>
      </rPr>
      <t xml:space="preserve">
стоимость за 
</t>
    </r>
    <r>
      <rPr>
        <b/>
        <sz val="10"/>
        <color rgb="FFFFFF00"/>
        <rFont val="Calibri"/>
        <family val="2"/>
        <charset val="204"/>
        <scheme val="minor"/>
      </rPr>
      <t>РАЗМЕЩЕНИЕ</t>
    </r>
    <r>
      <rPr>
        <b/>
        <sz val="10"/>
        <color theme="0"/>
        <rFont val="Calibri"/>
        <family val="2"/>
        <scheme val="minor"/>
      </rPr>
      <t xml:space="preserve">, 
руб., </t>
    </r>
    <r>
      <rPr>
        <b/>
        <sz val="10"/>
        <color rgb="FFFFFF00"/>
        <rFont val="Calibri"/>
        <family val="2"/>
        <charset val="204"/>
        <scheme val="minor"/>
      </rPr>
      <t>NET</t>
    </r>
  </si>
  <si>
    <r>
      <rPr>
        <b/>
        <sz val="14"/>
        <color rgb="FFFFFF00"/>
        <rFont val="Calibri"/>
        <family val="2"/>
        <charset val="204"/>
        <scheme val="minor"/>
      </rPr>
      <t xml:space="preserve">ИТОГО </t>
    </r>
    <r>
      <rPr>
        <b/>
        <sz val="10"/>
        <color theme="0"/>
        <rFont val="Calibri"/>
        <family val="2"/>
        <scheme val="minor"/>
      </rPr>
      <t xml:space="preserve">
стоимость за 
</t>
    </r>
    <r>
      <rPr>
        <b/>
        <sz val="10"/>
        <color rgb="FFFFFF00"/>
        <rFont val="Calibri"/>
        <family val="2"/>
        <charset val="204"/>
        <scheme val="minor"/>
      </rPr>
      <t>РАЗМЕЩЕНИЕ</t>
    </r>
    <r>
      <rPr>
        <b/>
        <sz val="10"/>
        <color theme="0"/>
        <rFont val="Calibri"/>
        <family val="2"/>
        <scheme val="minor"/>
      </rPr>
      <t xml:space="preserve">, 
руб., </t>
    </r>
    <r>
      <rPr>
        <b/>
        <sz val="10"/>
        <color rgb="FFFFFF00"/>
        <rFont val="Calibri"/>
        <family val="2"/>
        <charset val="204"/>
        <scheme val="minor"/>
      </rPr>
      <t>GROSS</t>
    </r>
  </si>
  <si>
    <r>
      <rPr>
        <b/>
        <sz val="14"/>
        <color rgb="FFFFFF00"/>
        <rFont val="Calibri"/>
        <family val="2"/>
        <charset val="204"/>
        <scheme val="minor"/>
      </rPr>
      <t>ВСЕГО</t>
    </r>
    <r>
      <rPr>
        <b/>
        <sz val="11"/>
        <color theme="0"/>
        <rFont val="Calibri"/>
        <family val="2"/>
        <charset val="204"/>
        <scheme val="minor"/>
      </rPr>
      <t xml:space="preserve">, 
руб., </t>
    </r>
    <r>
      <rPr>
        <b/>
        <sz val="11"/>
        <color rgb="FFFFFF00"/>
        <rFont val="Calibri"/>
        <family val="2"/>
        <charset val="204"/>
        <scheme val="minor"/>
      </rPr>
      <t>NET</t>
    </r>
  </si>
  <si>
    <r>
      <rPr>
        <b/>
        <sz val="14"/>
        <color rgb="FFFFFF00"/>
        <rFont val="Calibri"/>
        <family val="2"/>
        <charset val="204"/>
        <scheme val="minor"/>
      </rPr>
      <t>ВСЕГО</t>
    </r>
    <r>
      <rPr>
        <b/>
        <sz val="11"/>
        <color theme="0"/>
        <rFont val="Calibri"/>
        <family val="2"/>
        <charset val="204"/>
        <scheme val="minor"/>
      </rPr>
      <t xml:space="preserve">, 
руб., </t>
    </r>
    <r>
      <rPr>
        <b/>
        <sz val="11"/>
        <color rgb="FFFFFF00"/>
        <rFont val="Calibri"/>
        <family val="2"/>
        <charset val="204"/>
        <scheme val="minor"/>
      </rPr>
      <t>GROSS</t>
    </r>
  </si>
  <si>
    <t>Кол-во 
ПМД</t>
  </si>
  <si>
    <t>Населенный 
пункт</t>
  </si>
  <si>
    <t>Округ</t>
  </si>
  <si>
    <t>Район</t>
  </si>
  <si>
    <t>Карта/ Схема/ Локация</t>
  </si>
  <si>
    <t>БАИНГ</t>
  </si>
  <si>
    <t>КЛИЕНТ</t>
  </si>
  <si>
    <r>
      <rPr>
        <b/>
        <sz val="14"/>
        <color rgb="FFFFFF00"/>
        <rFont val="Calibri"/>
        <family val="2"/>
        <charset val="204"/>
        <scheme val="minor"/>
      </rPr>
      <t>ИТОГО</t>
    </r>
    <r>
      <rPr>
        <b/>
        <sz val="12"/>
        <color theme="0"/>
        <rFont val="Calibri"/>
        <family val="2"/>
        <charset val="204"/>
        <scheme val="minor"/>
      </rPr>
      <t xml:space="preserve"> </t>
    </r>
    <r>
      <rPr>
        <b/>
        <sz val="11"/>
        <color theme="0"/>
        <rFont val="Calibri"/>
        <family val="2"/>
        <charset val="204"/>
        <scheme val="minor"/>
      </rPr>
      <t xml:space="preserve">
стоимость за 
</t>
    </r>
    <r>
      <rPr>
        <b/>
        <sz val="11"/>
        <color rgb="FFFFFF00"/>
        <rFont val="Calibri"/>
        <family val="2"/>
        <charset val="204"/>
        <scheme val="minor"/>
      </rPr>
      <t>ПРОИЗВОДСТВО,</t>
    </r>
    <r>
      <rPr>
        <b/>
        <sz val="11"/>
        <color theme="0"/>
        <rFont val="Calibri"/>
        <family val="2"/>
        <charset val="204"/>
        <scheme val="minor"/>
      </rPr>
      <t xml:space="preserve"> 
руб., </t>
    </r>
    <r>
      <rPr>
        <b/>
        <sz val="11"/>
        <color rgb="FFFFFF00"/>
        <rFont val="Calibri"/>
        <family val="2"/>
        <charset val="204"/>
        <scheme val="minor"/>
      </rPr>
      <t>GROSS</t>
    </r>
  </si>
  <si>
    <r>
      <rPr>
        <b/>
        <sz val="14"/>
        <color rgb="FFFFFF00"/>
        <rFont val="Calibri"/>
        <family val="2"/>
        <charset val="204"/>
        <scheme val="minor"/>
      </rPr>
      <t>ИТОГО</t>
    </r>
    <r>
      <rPr>
        <b/>
        <sz val="14"/>
        <color theme="0"/>
        <rFont val="Calibri"/>
        <family val="2"/>
        <charset val="204"/>
        <scheme val="minor"/>
      </rPr>
      <t xml:space="preserve"> </t>
    </r>
    <r>
      <rPr>
        <b/>
        <sz val="11"/>
        <color theme="0"/>
        <rFont val="Calibri"/>
        <family val="2"/>
        <charset val="204"/>
        <scheme val="minor"/>
      </rPr>
      <t xml:space="preserve">
стоимость за
</t>
    </r>
    <r>
      <rPr>
        <b/>
        <sz val="11"/>
        <color rgb="FFFFFF00"/>
        <rFont val="Calibri"/>
        <family val="2"/>
        <charset val="204"/>
        <scheme val="minor"/>
      </rPr>
      <t>МОНТАЖ</t>
    </r>
    <r>
      <rPr>
        <b/>
        <sz val="11"/>
        <color theme="0"/>
        <rFont val="Calibri"/>
        <family val="2"/>
        <charset val="204"/>
        <scheme val="minor"/>
      </rPr>
      <t xml:space="preserve">, 
руб., </t>
    </r>
    <r>
      <rPr>
        <b/>
        <sz val="11"/>
        <color rgb="FFFFFF00"/>
        <rFont val="Calibri"/>
        <family val="2"/>
        <charset val="204"/>
        <scheme val="minor"/>
      </rPr>
      <t>GROSS</t>
    </r>
  </si>
  <si>
    <t>ПАКЕТ</t>
  </si>
  <si>
    <t>СТАТУС</t>
  </si>
  <si>
    <t>МАРЖ. за 
РАЗМЕЩЕНИЕ, 
%</t>
  </si>
  <si>
    <t>МАРЖ. за 
ПРОИЗВОДСТВО, 
%</t>
  </si>
  <si>
    <t>МАРЖ. за 
ДЕ/МОНТАЖ, 
%</t>
  </si>
  <si>
    <t>послед.</t>
  </si>
  <si>
    <t>АК, 
%</t>
  </si>
  <si>
    <r>
      <rPr>
        <b/>
        <sz val="20"/>
        <color theme="0" tint="-0.249977111117893"/>
        <rFont val="Calibri"/>
        <family val="2"/>
        <charset val="204"/>
        <scheme val="minor"/>
      </rPr>
      <t xml:space="preserve">_ </t>
    </r>
    <r>
      <rPr>
        <b/>
        <sz val="20"/>
        <color rgb="FFFF0000"/>
        <rFont val="Calibri"/>
        <family val="2"/>
        <charset val="204"/>
        <scheme val="minor"/>
      </rPr>
      <t>-&gt;|!!!УДАЛИТЬ ПЕРЕД ОТПРАВКОЙ ЗАКАЗЧИКУ</t>
    </r>
  </si>
  <si>
    <t>ВСЕГО
МАРЖ., 
руб., NET</t>
  </si>
  <si>
    <t>ИТОГОВАЯ Скидка</t>
  </si>
  <si>
    <t>Скидка 1
%</t>
  </si>
  <si>
    <t>Скидка 2
%</t>
  </si>
  <si>
    <t>Скидка 3
%</t>
  </si>
  <si>
    <t>Скидка 4
%</t>
  </si>
  <si>
    <t>Скидка 5
%</t>
  </si>
  <si>
    <t>Категория/ 
Класс/ 
Средний чек</t>
  </si>
  <si>
    <t>Заказчик</t>
  </si>
  <si>
    <t>Бренд</t>
  </si>
  <si>
    <t>Заказчик:</t>
  </si>
  <si>
    <r>
      <rPr>
        <b/>
        <sz val="10"/>
        <color theme="0"/>
        <rFont val="Calibri"/>
        <family val="2"/>
        <charset val="204"/>
        <scheme val="minor"/>
      </rPr>
      <t>_</t>
    </r>
    <r>
      <rPr>
        <b/>
        <sz val="10"/>
        <color theme="1"/>
        <rFont val="Calibri"/>
        <family val="2"/>
        <charset val="204"/>
        <scheme val="minor"/>
      </rPr>
      <t>- агентская скидка (для РА)</t>
    </r>
  </si>
  <si>
    <t>Кол-во 
ФО/ 
месяц</t>
  </si>
  <si>
    <t>% 
бесплатного 
ФО</t>
  </si>
  <si>
    <t>Тип расчетов стоимости размещения</t>
  </si>
  <si>
    <r>
      <rPr>
        <b/>
        <sz val="11"/>
        <color rgb="FFFFFF00"/>
        <rFont val="Calibri"/>
        <family val="2"/>
        <charset val="204"/>
        <scheme val="minor"/>
      </rPr>
      <t xml:space="preserve">ПРАЙС, 
</t>
    </r>
    <r>
      <rPr>
        <b/>
        <sz val="11"/>
        <color theme="0"/>
        <rFont val="Calibri"/>
        <family val="2"/>
        <scheme val="minor"/>
      </rPr>
      <t>стоимость размещения</t>
    </r>
    <r>
      <rPr>
        <b/>
        <sz val="11"/>
        <color theme="0"/>
        <rFont val="Calibri"/>
        <family val="2"/>
        <charset val="204"/>
        <scheme val="minor"/>
      </rPr>
      <t xml:space="preserve"> за </t>
    </r>
    <r>
      <rPr>
        <b/>
        <sz val="11"/>
        <color rgb="FFFFFF00"/>
        <rFont val="Calibri"/>
        <family val="2"/>
        <charset val="204"/>
        <scheme val="minor"/>
      </rPr>
      <t xml:space="preserve">
КОЛ-ВО/МЕСЯЦ+ФО, </t>
    </r>
    <r>
      <rPr>
        <b/>
        <sz val="11"/>
        <color theme="0"/>
        <rFont val="Calibri"/>
        <family val="2"/>
        <scheme val="minor"/>
      </rPr>
      <t xml:space="preserve">
руб.,</t>
    </r>
    <r>
      <rPr>
        <b/>
        <sz val="11"/>
        <color rgb="FFFFFF00"/>
        <rFont val="Calibri"/>
        <family val="2"/>
        <charset val="204"/>
        <scheme val="minor"/>
      </rPr>
      <t xml:space="preserve"> NET</t>
    </r>
  </si>
  <si>
    <r>
      <t xml:space="preserve">Стоимость за 
</t>
    </r>
    <r>
      <rPr>
        <b/>
        <sz val="10"/>
        <color rgb="FFFFFF00"/>
        <rFont val="Calibri"/>
        <family val="2"/>
        <charset val="204"/>
        <scheme val="minor"/>
      </rPr>
      <t xml:space="preserve">ФО/МЕСЯЦ
с учетом % бесплатного ФО, 
</t>
    </r>
    <r>
      <rPr>
        <b/>
        <sz val="10"/>
        <color theme="0"/>
        <rFont val="Calibri"/>
        <family val="2"/>
        <scheme val="minor"/>
      </rPr>
      <t xml:space="preserve">руб., </t>
    </r>
    <r>
      <rPr>
        <b/>
        <sz val="10"/>
        <color rgb="FFFFFF00"/>
        <rFont val="Calibri"/>
        <family val="2"/>
        <charset val="204"/>
        <scheme val="minor"/>
      </rPr>
      <t>NET</t>
    </r>
  </si>
  <si>
    <r>
      <rPr>
        <b/>
        <sz val="11"/>
        <color rgb="FFFFFF00"/>
        <rFont val="Calibri"/>
        <family val="2"/>
        <charset val="204"/>
        <scheme val="minor"/>
      </rPr>
      <t>ПРАЙС</t>
    </r>
    <r>
      <rPr>
        <b/>
        <sz val="11"/>
        <color theme="0"/>
        <rFont val="Calibri"/>
        <family val="2"/>
        <charset val="204"/>
        <scheme val="minor"/>
      </rPr>
      <t xml:space="preserve"> 
стоимость за 
</t>
    </r>
    <r>
      <rPr>
        <b/>
        <sz val="11"/>
        <color rgb="FFFFFF00"/>
        <rFont val="Calibri"/>
        <family val="2"/>
        <charset val="204"/>
        <scheme val="minor"/>
      </rPr>
      <t xml:space="preserve">единоразовый ФО, 
</t>
    </r>
    <r>
      <rPr>
        <b/>
        <sz val="11"/>
        <color theme="0"/>
        <rFont val="Calibri"/>
        <family val="2"/>
        <charset val="204"/>
        <scheme val="minor"/>
      </rPr>
      <t xml:space="preserve">руб., </t>
    </r>
    <r>
      <rPr>
        <b/>
        <sz val="11"/>
        <color rgb="FFFFFF00"/>
        <rFont val="Calibri"/>
        <family val="2"/>
        <charset val="204"/>
        <scheme val="minor"/>
      </rPr>
      <t>NET</t>
    </r>
  </si>
  <si>
    <t>Частота бесплатного ФО в месяц</t>
  </si>
  <si>
    <t>Расположение/ доп.информация</t>
  </si>
  <si>
    <r>
      <rPr>
        <b/>
        <sz val="11"/>
        <color rgb="FFFFFF00"/>
        <rFont val="Calibri"/>
        <family val="2"/>
        <charset val="204"/>
        <scheme val="minor"/>
      </rPr>
      <t xml:space="preserve">БАЗОВЫЙ ПРАЙС, 
</t>
    </r>
    <r>
      <rPr>
        <b/>
        <sz val="11"/>
        <color theme="0"/>
        <rFont val="Calibri"/>
        <family val="2"/>
        <scheme val="minor"/>
      </rPr>
      <t>стоимость размещения</t>
    </r>
    <r>
      <rPr>
        <b/>
        <sz val="11"/>
        <color theme="0"/>
        <rFont val="Calibri"/>
        <family val="2"/>
        <charset val="204"/>
        <scheme val="minor"/>
      </rPr>
      <t xml:space="preserve"> за </t>
    </r>
    <r>
      <rPr>
        <b/>
        <sz val="11"/>
        <color rgb="FFFFFF00"/>
        <rFont val="Calibri"/>
        <family val="2"/>
        <charset val="204"/>
        <scheme val="minor"/>
      </rPr>
      <t xml:space="preserve">
КОЛ-ВО/МЕСЯЦ, </t>
    </r>
    <r>
      <rPr>
        <b/>
        <sz val="11"/>
        <color theme="0"/>
        <rFont val="Calibri"/>
        <family val="2"/>
        <scheme val="minor"/>
      </rPr>
      <t xml:space="preserve">
руб.,</t>
    </r>
    <r>
      <rPr>
        <b/>
        <sz val="11"/>
        <color rgb="FFFFFF00"/>
        <rFont val="Calibri"/>
        <family val="2"/>
        <charset val="204"/>
        <scheme val="minor"/>
      </rPr>
      <t xml:space="preserve"> NET</t>
    </r>
  </si>
  <si>
    <t>Налог, %</t>
  </si>
  <si>
    <t>Форма налогообложения поставщика (УСНО/ОСН)</t>
  </si>
  <si>
    <t>месяц</t>
  </si>
  <si>
    <t>Адрес/ 
маршрут</t>
  </si>
  <si>
    <t>ПРАЙС, 
стоимость за 
РАЗМЕЩЕНИЕ 
за КОЛ-ВО/МЕСЯЦ, 
руб., NET</t>
  </si>
  <si>
    <t>Стоимость за 
РАЗМЕЩЕНИЕ
С УЧЕТОМ СКИДКИ, 
руб., NET</t>
  </si>
  <si>
    <t>Стоимость за 
РАЗМЕЩЕНИЕ
(ЯНВАРЬ), 
руб., NET</t>
  </si>
  <si>
    <t>Стоимость за 
РАЗМЕЩЕНИЕ
(ФЕВРАЛЬ), 
руб., NET</t>
  </si>
  <si>
    <t>Стоимость за 
РАЗМЕЩЕНИЕ
(МАРТ), 
руб., NET</t>
  </si>
  <si>
    <t>Стоимость за 
РАЗМЕЩЕНИЕ
(АПРЕЛЬ), 
руб., NET</t>
  </si>
  <si>
    <t>Стоимость за 
РАЗМЕЩЕНИЕ
(МАЙ), 
руб., NET</t>
  </si>
  <si>
    <t>Стоимость за 
РАЗМЕЩЕНИЕ
(ИЮНЬ), 
руб., NET</t>
  </si>
  <si>
    <t>Стоимость за 
РАЗМЕЩЕНИЕ
(ИЮЛЬ), 
руб., NET</t>
  </si>
  <si>
    <t>Стоимость за 
РАЗМЕЩЕНИЕ
(АВГУСТ), 
руб., NET</t>
  </si>
  <si>
    <t>Стоимость за 
РАЗМЕЩЕНИЕ
(СЕНТЯБРЬ), 
руб., NET</t>
  </si>
  <si>
    <t>Стоимость за 
РАЗМЕЩЕНИЕ
(ОКТЯБРЬ), 
руб., NET</t>
  </si>
  <si>
    <t>Стоимость за 
РАЗМЕЩЕНИЕ
(НОЯБРЬ), 
руб., NET</t>
  </si>
  <si>
    <t>Стоимость за 
РАЗМЕЩЕНИЕ
(ДЕКАБРЬ), 
руб., NET</t>
  </si>
  <si>
    <t>ИТОГО 
стоимость за 
РАЗМЕЩЕНИЕ, 
руб., NET</t>
  </si>
  <si>
    <t>Единоразовая стоимость за
ПРОИЗВОДСТВО 
за ШТ., 
руб., NET</t>
  </si>
  <si>
    <t>ИТОГО 
cтоимость за 
ПРОИЗВОДСТВО, 
руб., NET</t>
  </si>
  <si>
    <t>Единоразовая стоимость за
МОНТАЖ, 
за ШТ., 
руб., NET</t>
  </si>
  <si>
    <t>ИТОГО 
cтоимость за
МОНТАЖ, 
руб., NET</t>
  </si>
  <si>
    <t>ИТОГО 
за все услуги, 
руб., NET</t>
  </si>
  <si>
    <t>ВСЕГО,  
руб., NET</t>
  </si>
  <si>
    <t>ИТОГО 
за все услуги, 
руб., GROSS</t>
  </si>
  <si>
    <t>ВСЕГО,  
руб., GROSS</t>
  </si>
  <si>
    <t>Юр.лицо 
агентства</t>
  </si>
  <si>
    <t>Форма налогообложения заказчика (УСНО/ОСН)</t>
  </si>
  <si>
    <t/>
  </si>
  <si>
    <t>ПОДТВЕРЖДЕНО БАИНГ</t>
  </si>
  <si>
    <t>Размещение, 
руб., NET</t>
  </si>
  <si>
    <t>Производство, 
руб., NET</t>
  </si>
  <si>
    <t>Де/монтаж, 
руб., NET</t>
  </si>
  <si>
    <t>ИТОГО, 
руб., NET</t>
  </si>
  <si>
    <t>ИТОГО, 
руб., GROSS</t>
  </si>
  <si>
    <t>НАЛОГ 
Заказчика</t>
  </si>
  <si>
    <t>НАЛОГ 
подрядчика</t>
  </si>
  <si>
    <t>Наименование подрядчика</t>
  </si>
  <si>
    <t>Кол-во 
сторон/
сторона</t>
  </si>
  <si>
    <t>Кол-во РН 
(РК)</t>
  </si>
  <si>
    <t>Кол-во РН 
(max)</t>
  </si>
  <si>
    <t>Кол-во РН 
(min)</t>
  </si>
  <si>
    <t>Предложение действует до:</t>
  </si>
  <si>
    <t>доп.%</t>
  </si>
  <si>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</si>
  <si>
    <t>2. Условия актуальны в рамках расчетного периода, объема и указанных характеристик. В случае изменения параметров условия подлежат пересмотру.</t>
  </si>
  <si>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</si>
  <si>
    <t>4. Производство макетов РИМ осуществляется собственными силами заказчика и не включено в настоящее предложение, если иное не указано в КП.</t>
  </si>
  <si>
    <t>5. Обозначение NET соответствует условиям "без НДС", обозначение GROSS соответствует условиям "в том числе НДС".</t>
  </si>
  <si>
    <t>6. Поставщик оставляет за собой право отказать в размещении рекламы без объяснения причин.</t>
  </si>
  <si>
    <t>7. Адреса, кол-во точек распространения/вещания, кол-во РН на момент финального подтверждения могут быть скорректированы.</t>
  </si>
  <si>
    <t>8. Не является публичной офертой.</t>
  </si>
  <si>
    <t>Тип 
расчета 
итоговой
скидки</t>
  </si>
  <si>
    <r>
      <rPr>
        <b/>
        <sz val="10"/>
        <color theme="0"/>
        <rFont val="Calibri"/>
        <family val="2"/>
        <charset val="204"/>
        <scheme val="minor"/>
      </rPr>
      <t>_</t>
    </r>
    <r>
      <rPr>
        <b/>
        <sz val="10"/>
        <color theme="1"/>
        <rFont val="Calibri"/>
        <family val="2"/>
        <charset val="204"/>
        <scheme val="minor"/>
      </rPr>
      <t>- скидка за период</t>
    </r>
  </si>
  <si>
    <r>
      <rPr>
        <b/>
        <sz val="10"/>
        <color theme="0"/>
        <rFont val="Calibri"/>
        <family val="2"/>
        <charset val="204"/>
        <scheme val="minor"/>
      </rPr>
      <t>_</t>
    </r>
    <r>
      <rPr>
        <b/>
        <sz val="10"/>
        <color theme="1"/>
        <rFont val="Calibri"/>
        <family val="2"/>
        <charset val="204"/>
        <scheme val="minor"/>
      </rPr>
      <t>- скидка за объем</t>
    </r>
  </si>
  <si>
    <r>
      <rPr>
        <b/>
        <sz val="10"/>
        <color theme="0"/>
        <rFont val="Calibri"/>
        <family val="2"/>
        <charset val="204"/>
        <scheme val="minor"/>
      </rPr>
      <t>_</t>
    </r>
    <r>
      <rPr>
        <b/>
        <sz val="10"/>
        <color theme="1"/>
        <rFont val="Calibri"/>
        <family val="2"/>
        <charset val="204"/>
        <scheme val="minor"/>
      </rPr>
      <t>- спец. скидка</t>
    </r>
  </si>
  <si>
    <r>
      <rPr>
        <b/>
        <sz val="10"/>
        <color theme="0"/>
        <rFont val="Calibri"/>
        <family val="2"/>
        <charset val="204"/>
        <scheme val="minor"/>
      </rPr>
      <t>_</t>
    </r>
    <r>
      <rPr>
        <b/>
        <sz val="10"/>
        <color theme="1"/>
        <rFont val="Calibri"/>
        <family val="2"/>
        <charset val="204"/>
        <scheme val="minor"/>
      </rPr>
      <t>- welcom скидка</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</si>
</sst>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 #,##0.00\ &quot;₽&quot;_-;\-* #,##0.00\ &quot;₽&quot;_-;_-* &quot;-&quot;??\ &quot;₽&quot;_-;_-@_-"/>
    <numFmt numFmtId="164" formatCode="_-* #,##0.00\ _₽_-;\-* #,##0.00\ _₽_-;_-* &quot;-&quot;??\ _₽_-;_-@_-"/>
    <numFmt numFmtId="165" formatCode="_-* #,##0.00\ [$₽-419]_-;\-* #,##0.00\ [$₽-419]_-;_-* &quot;-&quot;??\ [$₽-419]_-;_-@_-"/>
    <numFmt numFmtId="166" formatCode="0.0"/>
    <numFmt numFmtId="167" formatCode="0_ ;\-0\ "/>
    <numFmt numFmtId="168" formatCode="0.0%"/>
  </numFmts>
  <fonts count="46" x14ac:knownFonts="1">
    <font>
      <sz val="11"/>
      <color theme="1"/>
      <name val="Calibri"/>
      <family val="2"/>
      <scheme val="minor"/>
    </font>
    <font>
      <sz val="11"/>
      <color theme="1"/>
      <name val="Calibri"/>
      <family val="2"/>
      <charset val="204"/>
      <scheme val="minor"/>
    </font>
    <font>
      <sz val="10"/>
      <color theme="1"/>
      <name val="Calibri"/>
      <family val="2"/>
      <scheme val="minor"/>
    </font>
    <font>
      <sz val="8"/>
      <name val="Calibri"/>
      <family val="2"/>
      <scheme val="minor"/>
    </font>
    <font>
      <b/>
      <sz val="10"/>
      <color theme="1"/>
      <name val="Calibri"/>
      <family val="2"/>
      <charset val="204"/>
      <scheme val="minor"/>
    </font>
    <font>
      <u/>
      <sz val="11"/>
      <color theme="10"/>
      <name val="Calibri"/>
      <family val="2"/>
      <charset val="204"/>
      <scheme val="minor"/>
    </font>
    <font>
      <sz val="8"/>
      <name val="Arial Cyr"/>
    </font>
    <font>
      <b/>
      <sz val="10"/>
      <name val="Calibri"/>
      <family val="2"/>
      <scheme val="minor"/>
    </font>
    <font>
      <b/>
      <sz val="10"/>
      <color theme="1"/>
      <name val="Calibri"/>
      <family val="2"/>
      <scheme val="minor"/>
    </font>
    <font>
      <b/>
      <sz val="10"/>
      <color theme="0"/>
      <name val="Calibri"/>
      <family val="2"/>
      <scheme val="minor"/>
    </font>
    <font>
      <b/>
      <sz val="12"/>
      <name val="Calibri"/>
      <family val="2"/>
      <charset val="204"/>
      <scheme val="minor"/>
    </font>
    <font>
      <sz val="10"/>
      <name val="Calibri"/>
      <family val="2"/>
      <charset val="204"/>
      <scheme val="minor"/>
    </font>
    <font>
      <b/>
      <sz val="10"/>
      <color theme="0"/>
      <name val="Calibri"/>
      <family val="2"/>
      <charset val="204"/>
      <scheme val="minor"/>
    </font>
    <font>
      <b/>
      <sz val="11"/>
      <color theme="0"/>
      <name val="Calibri"/>
      <family val="2"/>
      <charset val="204"/>
      <scheme val="minor"/>
    </font>
    <font>
      <b/>
      <sz val="10"/>
      <color rgb="FFFFFF00"/>
      <name val="Calibri"/>
      <family val="2"/>
      <charset val="204"/>
      <scheme val="minor"/>
    </font>
    <font>
      <i/>
      <sz val="10"/>
      <color rgb="FFFF0000"/>
      <name val="Calibri"/>
      <family val="2"/>
      <charset val="204"/>
      <scheme val="minor"/>
    </font>
    <font>
      <sz val="11"/>
      <color indexed="8"/>
      <name val="Calibri"/>
      <family val="2"/>
      <charset val="204"/>
    </font>
    <font>
      <sz val="11"/>
      <color theme="1"/>
      <name val="Calibri"/>
      <family val="2"/>
      <scheme val="minor"/>
    </font>
    <font>
      <sz val="10"/>
      <color theme="1"/>
      <name val="Calibri"/>
      <family val="2"/>
      <charset val="204"/>
      <scheme val="minor"/>
    </font>
    <font>
      <u/>
      <sz val="8"/>
      <color theme="10"/>
      <name val="Calibri"/>
      <family val="2"/>
      <charset val="204"/>
      <scheme val="minor"/>
    </font>
    <font>
      <sz val="10"/>
      <name val="Calibri"/>
      <family val="2"/>
      <scheme val="minor"/>
    </font>
    <font>
      <u/>
      <sz val="10"/>
      <color indexed="12"/>
      <name val="Arial Cyr"/>
      <charset val="204"/>
    </font>
    <font>
      <b/>
      <sz val="10"/>
      <color rgb="FFFF0000"/>
      <name val="Calibri"/>
      <family val="2"/>
      <charset val="204"/>
      <scheme val="minor"/>
    </font>
    <font>
      <sz val="10"/>
      <name val="Arial Cyr"/>
      <charset val="204"/>
    </font>
    <font>
      <u/>
      <sz val="12"/>
      <color theme="10"/>
      <name val="Calibri"/>
      <family val="2"/>
      <scheme val="minor"/>
    </font>
    <font>
      <u/>
      <sz val="12"/>
      <color theme="10"/>
      <name val="Calibri"/>
      <family val="2"/>
      <charset val="204"/>
      <scheme val="minor"/>
    </font>
    <font>
      <sz val="9"/>
      <color theme="1"/>
      <name val="Calibri"/>
      <family val="2"/>
      <scheme val="minor"/>
    </font>
    <font>
      <b/>
      <sz val="11"/>
      <color theme="1"/>
      <name val="Calibri"/>
      <family val="2"/>
      <charset val="204"/>
      <scheme val="minor"/>
    </font>
    <font>
      <b/>
      <i/>
      <u/>
      <sz val="10"/>
      <color rgb="FFFF0000"/>
      <name val="Calibri"/>
      <family val="2"/>
      <scheme val="minor"/>
    </font>
    <font>
      <i/>
      <sz val="10"/>
      <color rgb="FFFF0000"/>
      <name val="Calibri"/>
      <family val="2"/>
      <scheme val="minor"/>
    </font>
    <font>
      <u/>
      <sz val="11"/>
      <color theme="10"/>
      <name val="Calibri"/>
      <family val="2"/>
      <scheme val="minor"/>
    </font>
    <font>
      <sz val="11"/>
      <color rgb="FF000000"/>
      <name val="Calibri"/>
      <family val="2"/>
    </font>
    <font>
      <u/>
      <sz val="10"/>
      <color indexed="4"/>
      <name val="Arial Cyr"/>
    </font>
    <font>
      <sz val="11"/>
      <color theme="1"/>
      <name val="Arial"/>
      <family val="2"/>
      <charset val="204"/>
    </font>
    <font>
      <u/>
      <sz val="10"/>
      <color theme="10"/>
      <name val="Arial Cyr"/>
      <charset val="204"/>
    </font>
    <font>
      <b/>
      <sz val="11"/>
      <color rgb="FFFFFF00"/>
      <name val="Calibri"/>
      <family val="2"/>
      <charset val="204"/>
      <scheme val="minor"/>
    </font>
    <font>
      <sz val="10"/>
      <color rgb="FF000000"/>
      <name val="Arial"/>
      <family val="2"/>
      <charset val="204"/>
    </font>
    <font>
      <b/>
      <sz val="11"/>
      <color theme="0"/>
      <name val="Calibri"/>
      <family val="2"/>
      <scheme val="minor"/>
    </font>
    <font>
      <b/>
      <sz val="12"/>
      <color theme="0"/>
      <name val="Calibri"/>
      <family val="2"/>
      <charset val="204"/>
      <scheme val="minor"/>
    </font>
    <font>
      <b/>
      <sz val="14"/>
      <color rgb="FFFFFF00"/>
      <name val="Calibri"/>
      <family val="2"/>
      <charset val="204"/>
      <scheme val="minor"/>
    </font>
    <font>
      <b/>
      <sz val="14"/>
      <color theme="0"/>
      <name val="Calibri"/>
      <family val="2"/>
      <charset val="204"/>
      <scheme val="minor"/>
    </font>
    <font>
      <b/>
      <sz val="20"/>
      <color rgb="FFFF0000"/>
      <name val="Calibri"/>
      <family val="2"/>
      <charset val="204"/>
      <scheme val="minor"/>
    </font>
    <font>
      <b/>
      <sz val="11"/>
      <name val="Calibri"/>
      <family val="2"/>
      <scheme val="minor"/>
    </font>
    <font>
      <b/>
      <sz val="20"/>
      <color theme="0" tint="-0.249977111117893"/>
      <name val="Calibri"/>
      <family val="2"/>
      <charset val="204"/>
      <scheme val="minor"/>
    </font>
    <font>
      <sz val="10"/>
      <color theme="0"/>
      <name val="Calibri"/>
      <family val="2"/>
      <scheme val="minor"/>
    </font>
    <font>
      <b/>
      <sz val="20"/>
      <color theme="0"/>
      <name val="Calibri"/>
      <family val="2"/>
      <charset val="204"/>
      <scheme val="minor"/>
    </font>
  </fonts>
  <fills count="16">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theme="1" tint="4.9989318521683403E-2"/>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s>
  <cellStyleXfs count="25">
    <xf numFmtId="0" fontId="0" fillId="0" borderId="0"/>
    <xf numFmtId="0" fontId="5" fillId="0" borderId="0" applyNumberFormat="0" applyFill="0" applyBorder="0"/>
    <xf numFmtId="0" fontId="6" fillId="0" borderId="0"/>
    <xf numFmtId="0" fontId="5" fillId="0" borderId="0" applyNumberFormat="0" applyFill="0" applyBorder="0"/>
    <xf numFmtId="0" fontId="16" fillId="0" borderId="0"/>
    <xf numFmtId="0" fontId="1" fillId="0" borderId="0"/>
    <xf numFmtId="44" fontId="17" fillId="0" borderId="0" applyFont="0" applyFill="0" applyBorder="0" applyAlignment="0" applyProtection="0"/>
    <xf numFmtId="165" fontId="18" fillId="0" borderId="0"/>
    <xf numFmtId="165" fontId="19" fillId="0" borderId="0" applyNumberFormat="0" applyFill="0" applyBorder="0" applyAlignment="0" applyProtection="0"/>
    <xf numFmtId="0" fontId="17" fillId="0" borderId="0"/>
    <xf numFmtId="0" fontId="21" fillId="0" borderId="0" applyNumberFormat="0" applyFill="0" applyBorder="0" applyAlignment="0" applyProtection="0">
      <alignment vertical="top"/>
      <protection locked="0"/>
    </xf>
    <xf numFmtId="0" fontId="23" fillId="0" borderId="0"/>
    <xf numFmtId="0" fontId="24" fillId="0" borderId="0" applyNumberFormat="0" applyFill="0" applyBorder="0" applyProtection="0"/>
    <xf numFmtId="0" fontId="25" fillId="0" borderId="0" applyNumberFormat="0" applyFill="0" applyBorder="0" applyAlignment="0" applyProtection="0"/>
    <xf numFmtId="0" fontId="17" fillId="0" borderId="0"/>
    <xf numFmtId="0" fontId="30" fillId="0" borderId="0" applyNumberFormat="0" applyFill="0" applyBorder="0" applyAlignment="0" applyProtection="0"/>
    <xf numFmtId="0" fontId="31" fillId="0" borderId="0"/>
    <xf numFmtId="0" fontId="5" fillId="0" borderId="0" applyNumberFormat="0" applyFill="0" applyBorder="0"/>
    <xf numFmtId="0" fontId="30" fillId="0" borderId="0" applyNumberFormat="0" applyFill="0" applyBorder="0" applyAlignment="0" applyProtection="0"/>
    <xf numFmtId="0" fontId="32" fillId="0" borderId="0" applyNumberFormat="0" applyFill="0" applyBorder="0">
      <alignment vertical="top"/>
    </xf>
    <xf numFmtId="0" fontId="33" fillId="0" borderId="0"/>
    <xf numFmtId="0" fontId="34" fillId="0" borderId="0" applyNumberFormat="0" applyFill="0" applyBorder="0" applyAlignment="0" applyProtection="0"/>
    <xf numFmtId="0" fontId="36" fillId="0" borderId="0">
      <alignment horizontal="center" vertical="center"/>
    </xf>
    <xf numFmtId="0" fontId="11" fillId="0" borderId="0"/>
    <xf numFmtId="0" fontId="30" fillId="0" borderId="0" applyNumberFormat="0" applyFill="0" applyBorder="0" applyAlignment="0" applyProtection="0"/>
  </cellStyleXfs>
  <cellXfs count="109">
    <xf numFmtId="0" fontId="0" fillId="0" borderId="0" xfId="0"/>
    <xf numFmtId="0" fontId="7" fillId="2"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1" fontId="9" fillId="4" borderId="1" xfId="0" applyNumberFormat="1" applyFont="1" applyFill="1" applyBorder="1" applyAlignment="1">
      <alignment horizontal="center" vertical="center" wrapText="1"/>
    </xf>
    <xf numFmtId="17" fontId="7" fillId="2" borderId="1" xfId="0" applyNumberFormat="1" applyFont="1" applyFill="1" applyBorder="1" applyAlignment="1">
      <alignment horizontal="center" vertical="top" textRotation="90" wrapText="1"/>
    </xf>
    <xf numFmtId="1" fontId="7" fillId="2" borderId="1" xfId="0" applyNumberFormat="1" applyFont="1" applyFill="1" applyBorder="1" applyAlignment="1">
      <alignment horizontal="center" vertical="top" textRotation="90" wrapText="1"/>
    </xf>
    <xf numFmtId="0" fontId="27" fillId="3" borderId="1" xfId="0" applyFont="1" applyFill="1" applyBorder="1" applyAlignment="1">
      <alignment horizontal="center" vertical="center"/>
    </xf>
    <xf numFmtId="0" fontId="9" fillId="4" borderId="1" xfId="0" applyFont="1" applyFill="1" applyBorder="1" applyAlignment="1">
      <alignment horizontal="right" vertical="center"/>
    </xf>
    <xf numFmtId="0" fontId="2" fillId="3" borderId="1" xfId="0" applyFont="1" applyFill="1" applyBorder="1" applyAlignment="1">
      <alignment horizontal="left" vertical="center"/>
    </xf>
    <xf numFmtId="0" fontId="7" fillId="2" borderId="1" xfId="0" applyFont="1" applyFill="1" applyBorder="1" applyAlignment="1">
      <alignment horizontal="center" vertical="center"/>
    </xf>
    <xf numFmtId="3" fontId="9" fillId="4" borderId="1" xfId="0" applyNumberFormat="1" applyFont="1" applyFill="1" applyBorder="1" applyAlignment="1">
      <alignment horizontal="center" vertical="center" wrapText="1"/>
    </xf>
    <xf numFmtId="2" fontId="9" fillId="4" borderId="1" xfId="0" applyNumberFormat="1" applyFont="1" applyFill="1" applyBorder="1" applyAlignment="1">
      <alignment horizontal="center" vertical="center" wrapText="1"/>
    </xf>
    <xf numFmtId="0" fontId="13" fillId="4"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39" fillId="4" borderId="1" xfId="0" applyFont="1" applyFill="1" applyBorder="1" applyAlignment="1">
      <alignment horizontal="center" vertical="center" wrapText="1"/>
    </xf>
    <xf numFmtId="0" fontId="37" fillId="4" borderId="1" xfId="0" applyFont="1" applyFill="1" applyBorder="1" applyAlignment="1">
      <alignment horizontal="center" vertical="center" wrapText="1"/>
    </xf>
    <xf numFmtId="0" fontId="42" fillId="6"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13" fillId="8" borderId="1" xfId="0" applyFont="1" applyFill="1" applyBorder="1" applyAlignment="1">
      <alignment horizontal="center" vertical="center" wrapText="1"/>
    </xf>
    <xf numFmtId="0" fontId="40" fillId="8"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2" fillId="0" borderId="0" xfId="0" applyFont="1" applyAlignment="1">
      <alignment horizontal="center" vertical="center"/>
    </xf>
    <xf numFmtId="0" fontId="15" fillId="0" borderId="0" xfId="0" applyFont="1" applyAlignment="1">
      <alignment horizontal="left" vertical="center"/>
    </xf>
    <xf numFmtId="0" fontId="4" fillId="0" borderId="0" xfId="0" applyFont="1" applyAlignment="1">
      <alignment vertical="center"/>
    </xf>
    <xf numFmtId="0" fontId="27" fillId="0" borderId="0" xfId="0" applyFont="1" applyAlignment="1">
      <alignment horizontal="right" vertical="center"/>
    </xf>
    <xf numFmtId="44" fontId="2" fillId="0" borderId="0" xfId="0" applyNumberFormat="1" applyFont="1" applyAlignment="1">
      <alignment horizontal="right" vertical="center"/>
    </xf>
    <xf numFmtId="0" fontId="2" fillId="0" borderId="0" xfId="0" applyFont="1" applyAlignment="1">
      <alignment horizontal="left" vertical="center"/>
    </xf>
    <xf numFmtId="3" fontId="2" fillId="0" borderId="0" xfId="0" applyNumberFormat="1" applyFont="1" applyAlignment="1">
      <alignment horizontal="center" vertical="center"/>
    </xf>
    <xf numFmtId="1" fontId="2" fillId="0" borderId="0" xfId="0" applyNumberFormat="1" applyFont="1" applyAlignment="1">
      <alignment horizontal="center" vertical="center"/>
    </xf>
    <xf numFmtId="1" fontId="2" fillId="0" borderId="0" xfId="0" applyNumberFormat="1" applyFont="1" applyAlignment="1">
      <alignment horizontal="left" vertical="center"/>
    </xf>
    <xf numFmtId="2" fontId="2" fillId="0" borderId="0" xfId="0" applyNumberFormat="1" applyFont="1" applyAlignment="1">
      <alignment horizontal="center" vertical="center"/>
    </xf>
    <xf numFmtId="164" fontId="2" fillId="0" borderId="0" xfId="0" applyNumberFormat="1" applyFont="1"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xf>
    <xf numFmtId="164" fontId="44" fillId="0" borderId="0" xfId="0" applyNumberFormat="1" applyFont="1" applyAlignment="1">
      <alignment horizontal="center" vertical="center"/>
    </xf>
    <xf numFmtId="0" fontId="28" fillId="0" borderId="0" xfId="0" applyFont="1" applyAlignment="1">
      <alignment horizontal="left" vertical="center"/>
    </xf>
    <xf numFmtId="0" fontId="29" fillId="0" borderId="0" xfId="0" applyFont="1" applyAlignment="1">
      <alignment horizontal="left" vertical="center"/>
    </xf>
    <xf numFmtId="3" fontId="22" fillId="0" borderId="0" xfId="0" applyNumberFormat="1" applyFont="1" applyAlignment="1">
      <alignment horizontal="center" vertical="center"/>
    </xf>
    <xf numFmtId="10" fontId="2" fillId="0" borderId="0" xfId="0" applyNumberFormat="1" applyFont="1" applyAlignment="1">
      <alignment horizontal="center" vertical="center"/>
    </xf>
    <xf numFmtId="164" fontId="2" fillId="0" borderId="0" xfId="0" applyNumberFormat="1" applyFont="1" applyAlignment="1">
      <alignment horizontal="center" vertical="center" wrapText="1"/>
    </xf>
    <xf numFmtId="0" fontId="2" fillId="0" borderId="1" xfId="0" applyFont="1" applyBorder="1" applyAlignment="1">
      <alignment horizontal="center" vertical="center"/>
    </xf>
    <xf numFmtId="0" fontId="4" fillId="0" borderId="0" xfId="0" applyFont="1" applyAlignment="1">
      <alignment horizontal="left" vertical="center"/>
    </xf>
    <xf numFmtId="44" fontId="26" fillId="0" borderId="0" xfId="0" applyNumberFormat="1" applyFont="1" applyAlignment="1">
      <alignment horizontal="center" vertical="center"/>
    </xf>
    <xf numFmtId="44" fontId="26" fillId="0" borderId="0" xfId="0" applyNumberFormat="1" applyFont="1" applyAlignment="1">
      <alignment horizontal="left" vertical="center"/>
    </xf>
    <xf numFmtId="1" fontId="20" fillId="0" borderId="0" xfId="0" applyNumberFormat="1" applyFont="1" applyAlignment="1">
      <alignment horizontal="center" vertical="center"/>
    </xf>
    <xf numFmtId="0" fontId="20" fillId="0" borderId="0" xfId="0" applyFont="1" applyAlignment="1">
      <alignment horizontal="center" vertical="center"/>
    </xf>
    <xf numFmtId="1" fontId="44" fillId="0" borderId="0" xfId="0" applyNumberFormat="1" applyFont="1" applyAlignment="1">
      <alignment horizontal="center" vertical="center"/>
    </xf>
    <xf numFmtId="44" fontId="2" fillId="0" borderId="0" xfId="0" applyNumberFormat="1" applyFont="1" applyAlignment="1">
      <alignment horizontal="center" vertical="center"/>
    </xf>
    <xf numFmtId="0" fontId="41" fillId="0" borderId="0" xfId="0" applyFont="1" applyAlignment="1">
      <alignment horizontal="left" vertical="center"/>
    </xf>
    <xf numFmtId="0" fontId="41" fillId="0" borderId="0" xfId="0" applyFont="1" applyAlignment="1">
      <alignment horizontal="center" vertical="center"/>
    </xf>
    <xf numFmtId="164" fontId="45" fillId="0" borderId="0" xfId="0" applyNumberFormat="1" applyFont="1" applyAlignment="1">
      <alignment horizontal="center" vertical="center"/>
    </xf>
    <xf numFmtId="10" fontId="44" fillId="0" borderId="0" xfId="0" applyNumberFormat="1" applyFont="1" applyAlignment="1">
      <alignment horizontal="center" vertical="center"/>
    </xf>
    <xf numFmtId="0" fontId="12" fillId="0" borderId="0" xfId="0" applyFont="1" applyAlignment="1">
      <alignment vertical="center"/>
    </xf>
    <xf numFmtId="3" fontId="4" fillId="0" borderId="0" xfId="0" applyNumberFormat="1" applyFont="1" applyAlignment="1">
      <alignment horizontal="center" vertical="center"/>
    </xf>
    <xf numFmtId="0" fontId="4" fillId="0" borderId="0" xfId="0" applyFont="1" applyAlignment="1">
      <alignment horizontal="center" vertical="center"/>
    </xf>
    <xf numFmtId="0" fontId="10" fillId="0" borderId="0" xfId="0" applyFont="1" applyAlignment="1">
      <alignment vertical="center"/>
    </xf>
    <xf numFmtId="0" fontId="2" fillId="0" borderId="2" xfId="0" applyFont="1" applyBorder="1" applyAlignment="1">
      <alignment horizontal="center" vertical="center"/>
    </xf>
    <xf numFmtId="0" fontId="2" fillId="0" borderId="2" xfId="0" applyFont="1" applyBorder="1" applyAlignment="1">
      <alignment horizontal="left" vertical="center"/>
    </xf>
    <xf numFmtId="3" fontId="2" fillId="0" borderId="2" xfId="0" applyNumberFormat="1" applyFont="1" applyBorder="1" applyAlignment="1">
      <alignment horizontal="center" vertical="center"/>
    </xf>
    <xf numFmtId="1" fontId="2" fillId="0" borderId="2" xfId="0" applyNumberFormat="1" applyFont="1" applyBorder="1" applyAlignment="1">
      <alignment horizontal="center" vertical="center"/>
    </xf>
    <xf numFmtId="10" fontId="2" fillId="0" borderId="2" xfId="0" applyNumberFormat="1" applyFont="1" applyBorder="1" applyAlignment="1">
      <alignment horizontal="center" vertical="center"/>
    </xf>
    <xf numFmtId="1" fontId="2" fillId="0" borderId="2" xfId="0" applyNumberFormat="1" applyFont="1" applyBorder="1" applyAlignment="1">
      <alignment horizontal="left" vertical="center"/>
    </xf>
    <xf numFmtId="2" fontId="2" fillId="0" borderId="2" xfId="0" applyNumberFormat="1" applyFont="1" applyBorder="1" applyAlignment="1">
      <alignment horizontal="center" vertical="center"/>
    </xf>
    <xf numFmtId="44" fontId="2" fillId="0" borderId="2" xfId="0" applyNumberFormat="1" applyFont="1" applyBorder="1" applyAlignment="1">
      <alignment horizontal="center" vertical="center"/>
    </xf>
    <xf numFmtId="14" fontId="2" fillId="0" borderId="2" xfId="0" applyNumberFormat="1" applyFont="1" applyBorder="1" applyAlignment="1">
      <alignment horizontal="center" vertical="center"/>
    </xf>
    <xf numFmtId="166" fontId="2" fillId="0" borderId="2" xfId="0" applyNumberFormat="1" applyFont="1" applyBorder="1" applyAlignment="1">
      <alignment horizontal="center" vertical="center"/>
    </xf>
    <xf numFmtId="164" fontId="2" fillId="0" borderId="2" xfId="0" applyNumberFormat="1" applyFont="1" applyBorder="1" applyAlignment="1">
      <alignment horizontal="center" vertical="center"/>
    </xf>
    <xf numFmtId="164" fontId="2" fillId="0" borderId="2" xfId="0" applyNumberFormat="1" applyFont="1" applyBorder="1" applyAlignment="1">
      <alignment horizontal="center" vertical="center" wrapText="1"/>
    </xf>
    <xf numFmtId="168" fontId="2" fillId="0" borderId="2" xfId="0" applyNumberFormat="1" applyFont="1" applyBorder="1" applyAlignment="1">
      <alignment horizontal="center" vertical="center"/>
    </xf>
    <xf numFmtId="0" fontId="22" fillId="0" borderId="2" xfId="0" applyFont="1" applyBorder="1" applyAlignment="1">
      <alignment horizontal="left" vertical="center"/>
    </xf>
    <xf numFmtId="0" fontId="11" fillId="0" borderId="2" xfId="0" applyFont="1" applyBorder="1" applyAlignment="1">
      <alignment horizontal="left" vertical="center"/>
    </xf>
    <xf numFmtId="167" fontId="2" fillId="0" borderId="2" xfId="0" applyNumberFormat="1" applyFont="1" applyBorder="1" applyAlignment="1">
      <alignment horizontal="center" vertical="center"/>
    </xf>
    <xf numFmtId="10" fontId="2" fillId="0" borderId="2" xfId="0" applyNumberFormat="1" applyFont="1" applyBorder="1" applyAlignment="1">
      <alignment horizontal="center" vertical="center" wrapText="1"/>
    </xf>
    <xf numFmtId="44" fontId="11" fillId="0" borderId="2" xfId="6" applyFont="1" applyFill="1" applyBorder="1" applyAlignment="1">
      <alignment horizontal="center" vertical="center"/>
    </xf>
    <xf numFmtId="164" fontId="2" fillId="0" borderId="1" xfId="0" applyNumberFormat="1" applyFont="1" applyBorder="1" applyAlignment="1">
      <alignment horizontal="center" vertical="center"/>
    </xf>
    <xf numFmtId="0" fontId="8" fillId="0" borderId="0" xfId="0" applyFont="1" applyAlignment="1">
      <alignment horizontal="center" vertical="center" wrapText="1"/>
    </xf>
    <xf numFmtId="0" fontId="2" fillId="10" borderId="0" xfId="0" applyFont="1" applyFill="1" applyAlignment="1">
      <alignment horizontal="center" vertical="center"/>
    </xf>
    <xf numFmtId="0" fontId="41" fillId="10" borderId="0" xfId="0" applyFont="1" applyFill="1" applyAlignment="1">
      <alignment horizontal="left" vertical="center"/>
    </xf>
    <xf numFmtId="0" fontId="4" fillId="5" borderId="0" xfId="0" applyFont="1" applyFill="1" applyAlignment="1">
      <alignment horizontal="left" vertical="center"/>
    </xf>
    <xf numFmtId="0" fontId="4" fillId="5" borderId="0" xfId="0" applyFont="1" applyFill="1" applyAlignment="1">
      <alignment horizontal="center" vertical="center"/>
    </xf>
    <xf numFmtId="0" fontId="2" fillId="5" borderId="0" xfId="0" applyFont="1" applyFill="1" applyAlignment="1">
      <alignment horizontal="center" vertical="center"/>
    </xf>
    <xf numFmtId="0" fontId="2" fillId="5" borderId="0" xfId="0" applyFont="1" applyFill="1" applyAlignment="1">
      <alignment horizontal="center" vertical="center" wrapText="1"/>
    </xf>
    <xf numFmtId="164" fontId="2" fillId="5" borderId="0" xfId="0" applyNumberFormat="1" applyFont="1" applyFill="1" applyAlignment="1">
      <alignment horizontal="center" vertical="center"/>
    </xf>
    <xf numFmtId="0" fontId="7" fillId="2" borderId="0" xfId="0" applyFont="1" applyFill="1" applyAlignment="1">
      <alignment horizontal="left" vertical="center"/>
    </xf>
    <xf numFmtId="0" fontId="20" fillId="2" borderId="0" xfId="0" applyFont="1" applyFill="1" applyAlignment="1">
      <alignment horizontal="center" vertical="center"/>
    </xf>
    <xf numFmtId="0" fontId="20" fillId="2" borderId="0" xfId="0" applyFont="1" applyFill="1" applyAlignment="1">
      <alignment horizontal="center" vertical="center" wrapText="1"/>
    </xf>
    <xf numFmtId="0" fontId="20" fillId="2" borderId="0" xfId="0" applyFont="1" applyFill="1" applyAlignment="1">
      <alignment horizontal="left" vertical="center" wrapText="1"/>
    </xf>
    <xf numFmtId="0" fontId="2" fillId="0" borderId="0" xfId="0" applyFont="1"/>
    <xf numFmtId="0" fontId="2" fillId="2" borderId="0" xfId="0" applyFont="1" applyFill="1"/>
    <xf numFmtId="0" fontId="20" fillId="5" borderId="0" xfId="0" applyFont="1" applyFill="1"/>
    <xf numFmtId="0" fontId="2" fillId="5" borderId="0" xfId="0" applyFont="1" applyFill="1"/>
    <xf numFmtId="0" fontId="7" fillId="6" borderId="0" xfId="0" applyFont="1" applyFill="1"/>
    <xf numFmtId="0" fontId="20" fillId="6" borderId="0" xfId="0" applyFont="1" applyFill="1"/>
    <xf numFmtId="164" fontId="2" fillId="0" borderId="0" xfId="0" applyNumberFormat="1" applyFont="1"/>
    <xf numFmtId="0" fontId="9" fillId="4" borderId="3" xfId="0" applyFont="1" applyFill="1" applyBorder="1" applyAlignment="1">
      <alignment horizontal="center" vertical="center" wrapText="1"/>
    </xf>
    <xf numFmtId="0" fontId="20" fillId="3" borderId="1" xfId="0" applyFont="1" applyFill="1" applyBorder="1" applyAlignment="1">
      <alignment horizontal="left" vertical="center"/>
    </xf>
    <xf numFmtId="164" fontId="2" fillId="0" borderId="1" xfId="0" applyNumberFormat="1" applyFont="1" applyBorder="1" applyAlignment="1">
      <alignment horizontal="center" vertical="center" wrapText="1"/>
    </xf>
    <xf numFmtId="9" fontId="2" fillId="0" borderId="1" xfId="0" applyNumberFormat="1" applyFont="1" applyBorder="1" applyAlignment="1">
      <alignment horizontal="center" vertical="center" wrapText="1"/>
    </xf>
    <xf numFmtId="0" fontId="4" fillId="11" borderId="0" xfId="0" applyFont="1" applyFill="1" applyAlignment="1">
      <alignment horizontal="right" vertical="center"/>
    </xf>
    <xf numFmtId="14" fontId="4" fillId="11" borderId="0" xfId="0" applyNumberFormat="1" applyFont="1" applyFill="1" applyAlignment="1">
      <alignment horizontal="left" vertical="center"/>
    </xf>
    <xf numFmtId="9" fontId="2" fillId="0" borderId="2" xfId="0" applyNumberFormat="1" applyFont="1" applyBorder="1" applyAlignment="1">
      <alignment horizontal="left" vertical="center"/>
    </xf>
    <xf numFmtId="0" fontId="2" fillId="12" borderId="1" xfId="0" applyFont="1" applyFill="1" applyBorder="1" applyAlignment="1">
      <alignment horizontal="center" vertical="center"/>
    </xf>
    <xf numFmtId="0" fontId="2" fillId="13" borderId="1" xfId="0" applyFont="1" applyFill="1" applyBorder="1" applyAlignment="1">
      <alignment horizontal="center" vertical="center"/>
    </xf>
    <xf numFmtId="0" fontId="2" fillId="14" borderId="1" xfId="0" applyFont="1" applyFill="1" applyBorder="1" applyAlignment="1">
      <alignment horizontal="center" vertical="center"/>
    </xf>
    <xf numFmtId="0" fontId="2" fillId="15" borderId="1" xfId="0" applyFont="1" applyFill="1" applyBorder="1" applyAlignment="1">
      <alignment horizontal="center" vertical="center"/>
    </xf>
    <xf numFmtId="9" fontId="2" fillId="0" borderId="2" xfId="0" applyNumberFormat="1" applyFont="1" applyBorder="1" applyAlignment="1">
      <alignment horizontal="center" vertical="center"/>
    </xf>
  </cellXfs>
  <cellStyles count="25">
    <cellStyle name="Hyperlink" xfId="15" xr:uid="{40955542-3BE2-441F-B493-CA9757E9B2C1}"/>
    <cellStyle name="Hyperlink 2" xfId="17" xr:uid="{D8C667B6-3F17-4CA0-AD9B-ABF7B4FEDD2F}"/>
    <cellStyle name="S3" xfId="22" xr:uid="{85C71623-4EAE-4053-8ED8-890BB9B7561E}"/>
    <cellStyle name="Гиперссылка 10" xfId="19" xr:uid="{6356EE82-5169-4CB7-A1B4-450FA6E67F18}"/>
    <cellStyle name="Гиперссылка 12" xfId="3" xr:uid="{339C6205-EF30-4116-8995-547C8C8CE697}"/>
    <cellStyle name="Гиперссылка 13" xfId="1" xr:uid="{7968CE06-9AC3-468E-85CE-D466D222D1CE}"/>
    <cellStyle name="Гиперссылка 13 2" xfId="18" xr:uid="{218D04AC-609A-4A0B-AA69-365B32098665}"/>
    <cellStyle name="Гиперссылка 2" xfId="8" xr:uid="{AFE514CE-54F5-494B-B168-CEAF6C100F04}"/>
    <cellStyle name="Гиперссылка 2 2" xfId="10" xr:uid="{49F98ADA-BE7F-4963-BE9B-7E4D6C81ED55}"/>
    <cellStyle name="Гиперссылка 3" xfId="21" xr:uid="{D1964838-2E4E-475E-8AA1-AD47E64A2CE3}"/>
    <cellStyle name="Гиперссылка 312" xfId="12" xr:uid="{28E47F0C-F5E0-4585-9EF1-3F24BA07001A}"/>
    <cellStyle name="Гиперссылка 4" xfId="13" xr:uid="{0602C349-9D97-4C96-97DD-B7E51BD428C0}"/>
    <cellStyle name="Гиперссылка 5" xfId="24" xr:uid="{E6E80570-1183-4454-A9FB-D6FCC0EB2B73}"/>
    <cellStyle name="Денежный" xfId="6" builtinId="4"/>
    <cellStyle name="Обычный" xfId="0" builtinId="0"/>
    <cellStyle name="Обычный 10" xfId="14" xr:uid="{24AF9F7B-5E99-4B66-8211-09FC7D2183CD}"/>
    <cellStyle name="Обычный 17 2" xfId="9" xr:uid="{14619281-2BAA-49E1-A712-D1B9190C65E2}"/>
    <cellStyle name="Обычный 2 2" xfId="2" xr:uid="{5A1B0F28-6EA3-4C4A-90F3-FAEF15C236AE}"/>
    <cellStyle name="Обычный 2 3" xfId="11" xr:uid="{EFB886F0-CFDB-4910-A02C-5040D73F3BA7}"/>
    <cellStyle name="Обычный 2 4" xfId="5" xr:uid="{5C4034C8-2EA2-4E37-9CF2-AFB67174CD11}"/>
    <cellStyle name="Обычный 293" xfId="7" xr:uid="{756A280C-39A9-4BF0-845C-35856D6F58A6}"/>
    <cellStyle name="Обычный 3 2 2" xfId="4" xr:uid="{45772D89-E3E2-4D33-8815-55D14B45AACE}"/>
    <cellStyle name="Обычный 37" xfId="20" xr:uid="{F854D7A6-7838-4CB9-BBBE-166A9FDDEF4C}"/>
    <cellStyle name="Обычный 4" xfId="16" xr:uid="{E40851A9-A2BE-4565-803C-9D8BCBBFFD1D}"/>
    <cellStyle name="Обычный 5 2" xfId="23" xr:uid="{2E6414F1-A2DC-40CE-85DF-6F297180FE00}"/>
  </cellStyles>
  <dxfs count="43">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ont>
        <color rgb="FF9C0006"/>
      </font>
      <fill>
        <patternFill>
          <bgColor rgb="FFFFC7CE"/>
        </patternFill>
      </fill>
    </dxf>
    <dxf>
      <fill>
        <patternFill>
          <bgColor theme="9" tint="0.79998168889431442"/>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59996337778862885"/>
        </patternFill>
      </fill>
    </dxf>
    <dxf>
      <fill>
        <patternFill>
          <bgColor theme="8" tint="0.59996337778862885"/>
        </patternFill>
      </fill>
    </dxf>
    <dxf>
      <font>
        <b/>
        <i val="0"/>
        <strike val="0"/>
        <color rgb="FFFF0000"/>
      </font>
    </dxf>
    <dxf>
      <fill>
        <patternFill>
          <bgColor theme="7" tint="0.79998168889431442"/>
        </patternFill>
      </fill>
    </dxf>
    <dxf>
      <fill>
        <patternFill>
          <bgColor theme="9" tint="0.59996337778862885"/>
        </patternFill>
      </fill>
    </dxf>
    <dxf>
      <fill>
        <patternFill>
          <bgColor theme="4" tint="0.59996337778862885"/>
        </patternFill>
      </fill>
    </dxf>
    <dxf>
      <fill>
        <patternFill>
          <bgColor theme="9" tint="0.59996337778862885"/>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2"/>
        </patternFill>
      </fill>
    </dxf>
    <dxf>
      <font>
        <color rgb="FF9C0006"/>
      </font>
      <fill>
        <patternFill>
          <bgColor rgb="FFFFC7CE"/>
        </patternFill>
      </fill>
    </dxf>
    <dxf>
      <fill>
        <patternFill>
          <bgColor theme="9" tint="0.79998168889431442"/>
        </patternFill>
      </fill>
    </dxf>
    <dxf>
      <fill>
        <patternFill>
          <bgColor theme="7" tint="0.79998168889431442"/>
        </patternFill>
      </fill>
    </dxf>
    <dxf>
      <fill>
        <patternFill>
          <bgColor theme="9" tint="0.59996337778862885"/>
        </patternFill>
      </fill>
    </dxf>
    <dxf>
      <fill>
        <patternFill>
          <bgColor theme="9" tint="0.59996337778862885"/>
        </patternFill>
      </fill>
    </dxf>
    <dxf>
      <fill>
        <patternFill>
          <bgColor theme="7" tint="0.79998168889431442"/>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
      <fill>
        <patternFill>
          <bgColor theme="7" tint="0.79998168889431442"/>
        </patternFill>
      </fill>
    </dxf>
    <dxf>
      <fill>
        <patternFill>
          <bgColor theme="9"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278C3-FA35-43DE-A8C8-680FFDEDA3B2}">
  <dimension ref="A1:S18"/>
  <sheetViews>
    <sheetView showGridLines="0" zoomScale="70" zoomScaleNormal="70" workbookViewId="0">
      <selection activeCell="E36" sqref="E36"/>
    </sheetView>
  </sheetViews>
  <sheetFormatPr defaultColWidth="8.7109375" defaultRowHeight="12.75" outlineLevelCol="1" x14ac:dyDescent="0.2"/>
  <cols>
    <col min="1" max="1" width="19.140625" style="90" customWidth="1"/>
    <col min="2" max="13" width="15.5703125" style="90" customWidth="1"/>
    <col min="14" max="18" width="15.5703125" style="90" hidden="1" customWidth="1" outlineLevel="1"/>
    <col min="19" max="19" width="13.28515625" style="90" customWidth="1" collapsed="1"/>
    <col min="20" max="29" width="13.28515625" style="90" customWidth="1"/>
    <col min="30" max="16384" width="8.7109375" style="90"/>
  </cols>
  <sheetData>
    <row r="1" spans="1:18" x14ac:dyDescent="0.2">
      <c r="B1" s="91" t="s">
        <v>85</v>
      </c>
      <c r="C1" s="91"/>
      <c r="D1" s="91"/>
      <c r="E1" s="91"/>
      <c r="F1" s="91"/>
      <c r="G1" s="91"/>
      <c r="H1" s="92" t="s">
        <v>84</v>
      </c>
      <c r="I1" s="93"/>
      <c r="J1" s="93"/>
      <c r="K1" s="93"/>
      <c r="L1" s="93"/>
      <c r="M1" s="93"/>
      <c r="N1" s="94" t="s">
        <v>147</v>
      </c>
      <c r="O1" s="95"/>
      <c r="P1" s="95"/>
      <c r="Q1" s="95"/>
      <c r="R1" s="95"/>
    </row>
    <row r="2" spans="1:18" x14ac:dyDescent="0.2">
      <c r="B2" s="96">
        <f>SUBTOTAL(9,B4:B18)</f>
        <v>0</v>
      </c>
      <c r="C2" s="96">
        <f>SUBTOTAL(9,C4:C18)</f>
        <v>0</v>
      </c>
      <c r="D2" s="96">
        <f>SUBTOTAL(9,D4:D18)</f>
        <v>0</v>
      </c>
      <c r="E2" s="96">
        <f>SUBTOTAL(9,E4:E18)</f>
        <v>0</v>
      </c>
      <c r="F2" s="96">
        <f>SUBTOTAL(9,F4:F18)</f>
        <v>0</v>
      </c>
      <c r="G2" s="96"/>
      <c r="H2" s="96">
        <f>SUBTOTAL(9,H4:H18)</f>
        <v>0</v>
      </c>
      <c r="I2" s="96">
        <f>SUBTOTAL(9,I4:I18)</f>
        <v>0</v>
      </c>
      <c r="J2" s="96">
        <f>SUBTOTAL(9,J4:J18)</f>
        <v>0</v>
      </c>
      <c r="K2" s="96">
        <f>SUBTOTAL(9,K4:K18)</f>
        <v>0</v>
      </c>
      <c r="L2" s="96">
        <f>SUBTOTAL(9,L4:L18)</f>
        <v>0</v>
      </c>
      <c r="M2" s="96"/>
      <c r="N2" s="96">
        <f>SUBTOTAL(9,N4:N18)</f>
        <v>0</v>
      </c>
      <c r="O2" s="96">
        <f>SUBTOTAL(9,O4:O18)</f>
        <v>0</v>
      </c>
      <c r="P2" s="96">
        <f>SUBTOTAL(9,P4:P18)</f>
        <v>0</v>
      </c>
      <c r="Q2" s="96">
        <f>SUBTOTAL(9,Q4:Q18)</f>
        <v>0</v>
      </c>
      <c r="R2" s="96">
        <f>SUBTOTAL(9,R4:R18)</f>
        <v>0</v>
      </c>
    </row>
    <row r="3" spans="1:18" ht="25.5" x14ac:dyDescent="0.2">
      <c r="A3" s="2" t="s">
        <v>155</v>
      </c>
      <c r="B3" s="2" t="s">
        <v>148</v>
      </c>
      <c r="C3" s="2" t="s">
        <v>149</v>
      </c>
      <c r="D3" s="2" t="s">
        <v>150</v>
      </c>
      <c r="E3" s="2" t="s">
        <v>151</v>
      </c>
      <c r="F3" s="2" t="s">
        <v>152</v>
      </c>
      <c r="G3" s="97" t="s">
        <v>153</v>
      </c>
      <c r="H3" s="2" t="s">
        <v>148</v>
      </c>
      <c r="I3" s="2" t="s">
        <v>149</v>
      </c>
      <c r="J3" s="2" t="s">
        <v>150</v>
      </c>
      <c r="K3" s="2" t="s">
        <v>151</v>
      </c>
      <c r="L3" s="2" t="s">
        <v>152</v>
      </c>
      <c r="M3" s="97" t="s">
        <v>154</v>
      </c>
      <c r="N3" s="2" t="s">
        <v>148</v>
      </c>
      <c r="O3" s="2" t="s">
        <v>149</v>
      </c>
      <c r="P3" s="2" t="s">
        <v>150</v>
      </c>
      <c r="Q3" s="2" t="s">
        <v>151</v>
      </c>
      <c r="R3" s="2" t="s">
        <v>152</v>
      </c>
    </row>
    <row r="4" spans="1:18" x14ac:dyDescent="0.2">
      <c r="A4" s="98"/>
      <c r="B4" s="99">
        <f>SUMIFS(МП!$CC:$CC,МП!$ES:$ES,$A4)</f>
        <v>0</v>
      </c>
      <c r="C4" s="99">
        <f>SUMIFS(МП!$CE:$CE,МП!$ES:$ES,$A4)</f>
        <v>0</v>
      </c>
      <c r="D4" s="99">
        <f>SUMIFS(МП!$CG:$CG,МП!$ES:$ES,$A4)</f>
        <v>0</v>
      </c>
      <c r="E4" s="99">
        <f>SUM(B4:D4)</f>
        <v>0</v>
      </c>
      <c r="F4" s="99">
        <f>E4*(1+G4)</f>
        <v>0</v>
      </c>
      <c r="G4" s="100">
        <f>IFERROR(AVERAGEIFS(МП!$CM:$CM,МП!$ES:$ES,$A4),0)</f>
        <v>0</v>
      </c>
      <c r="H4" s="99">
        <f>SUMIFS(МП!$EE:$EE,МП!$ES:$ES,$A4)</f>
        <v>0</v>
      </c>
      <c r="I4" s="99">
        <f>SUMIFS(МП!$EI:$EI,МП!$ES:$ES,$A4)</f>
        <v>0</v>
      </c>
      <c r="J4" s="99">
        <f>SUMIFS(МП!$EL:$EL,МП!$ES:$ES,$A4)</f>
        <v>0</v>
      </c>
      <c r="K4" s="99">
        <f>SUM(H4:J4)</f>
        <v>0</v>
      </c>
      <c r="L4" s="99">
        <f t="shared" ref="L4:L18" si="0">K4*(1+M4)</f>
        <v>0</v>
      </c>
      <c r="M4" s="100">
        <f>IFERROR(AVERAGEIFS(МП!$EP:$EP,МП!$ES:$ES,$A4),0)</f>
        <v>0</v>
      </c>
      <c r="N4" s="99">
        <f>SUMIFS(МП!$EE:$EE,МП!$ES:$ES,$A4,МП!$CV:$CV,"подтверждено")</f>
        <v>0</v>
      </c>
      <c r="O4" s="99">
        <f>SUMIFS(МП!$EI:$EI,МП!$ES:$ES,$A4,МП!$CV:$CV,"подтверждено")</f>
        <v>0</v>
      </c>
      <c r="P4" s="99">
        <f>SUMIFS(МП!$EL:$EL,МП!$ES:$ES,$A4,МП!$CV:$CV,"подтверждено")</f>
        <v>0</v>
      </c>
      <c r="Q4" s="99">
        <f>SUM(N4:P4)</f>
        <v>0</v>
      </c>
      <c r="R4" s="99">
        <f>Q4*(1+M4)</f>
        <v>0</v>
      </c>
    </row>
    <row r="5" spans="1:18" x14ac:dyDescent="0.2">
      <c r="A5" s="98"/>
      <c r="B5" s="99">
        <f>SUMIFS(МП!$CC:$CC,МП!$ES:$ES,$A5)</f>
        <v>0</v>
      </c>
      <c r="C5" s="99">
        <f>SUMIFS(МП!$CE:$CE,МП!$ES:$ES,$A5)</f>
        <v>0</v>
      </c>
      <c r="D5" s="99">
        <f>SUMIFS(МП!$CG:$CG,МП!$ES:$ES,$A5)</f>
        <v>0</v>
      </c>
      <c r="E5" s="99">
        <f t="shared" ref="E5:E18" si="1">SUM(B5:D5)</f>
        <v>0</v>
      </c>
      <c r="F5" s="99">
        <f t="shared" ref="F5:F18" si="2">E5*(1+G5)</f>
        <v>0</v>
      </c>
      <c r="G5" s="100">
        <f>IFERROR(AVERAGEIFS(МП!$CM:$CM,МП!$ES:$ES,$A5),0)</f>
        <v>0</v>
      </c>
      <c r="H5" s="99">
        <f>SUMIFS(МП!$EE:$EE,МП!$ES:$ES,$A5)</f>
        <v>0</v>
      </c>
      <c r="I5" s="99">
        <f>SUMIFS(МП!$EI:$EI,МП!$ES:$ES,$A5)</f>
        <v>0</v>
      </c>
      <c r="J5" s="99">
        <f>SUMIFS(МП!$EL:$EL,МП!$ES:$ES,$A5)</f>
        <v>0</v>
      </c>
      <c r="K5" s="99">
        <f t="shared" ref="K5:K18" si="3">SUM(H5:J5)</f>
        <v>0</v>
      </c>
      <c r="L5" s="99">
        <f t="shared" si="0"/>
        <v>0</v>
      </c>
      <c r="M5" s="100">
        <f>IFERROR(AVERAGEIFS(МП!$EP:$EP,МП!$ES:$ES,$A5),0)</f>
        <v>0</v>
      </c>
      <c r="N5" s="99">
        <f>SUMIFS(МП!$EE:$EE,МП!$ES:$ES,$A5,МП!$CV:$CV,"подтверждено")</f>
        <v>0</v>
      </c>
      <c r="O5" s="99">
        <f>SUMIFS(МП!$EI:$EI,МП!$ES:$ES,$A5,МП!$CV:$CV,"подтверждено")</f>
        <v>0</v>
      </c>
      <c r="P5" s="99">
        <f>SUMIFS(МП!$EL:$EL,МП!$ES:$ES,$A5,МП!$CV:$CV,"подтверждено")</f>
        <v>0</v>
      </c>
      <c r="Q5" s="99">
        <f t="shared" ref="Q5:Q18" si="4">SUM(N5:P5)</f>
        <v>0</v>
      </c>
      <c r="R5" s="99">
        <f t="shared" ref="R5:R18" si="5">Q5*(1+M5)</f>
        <v>0</v>
      </c>
    </row>
    <row r="6" spans="1:18" x14ac:dyDescent="0.2">
      <c r="A6" s="98"/>
      <c r="B6" s="99">
        <f>SUMIFS(МП!$CC:$CC,МП!$ES:$ES,$A6)</f>
        <v>0</v>
      </c>
      <c r="C6" s="99">
        <f>SUMIFS(МП!$CE:$CE,МП!$ES:$ES,$A6)</f>
        <v>0</v>
      </c>
      <c r="D6" s="99">
        <f>SUMIFS(МП!$CG:$CG,МП!$ES:$ES,$A6)</f>
        <v>0</v>
      </c>
      <c r="E6" s="99">
        <f t="shared" si="1"/>
        <v>0</v>
      </c>
      <c r="F6" s="99">
        <f t="shared" si="2"/>
        <v>0</v>
      </c>
      <c r="G6" s="100">
        <f>IFERROR(AVERAGEIFS(МП!$CM:$CM,МП!$ES:$ES,$A6),0)</f>
        <v>0</v>
      </c>
      <c r="H6" s="99">
        <f>SUMIFS(МП!$EE:$EE,МП!$ES:$ES,$A6)</f>
        <v>0</v>
      </c>
      <c r="I6" s="99">
        <f>SUMIFS(МП!$EI:$EI,МП!$ES:$ES,$A6)</f>
        <v>0</v>
      </c>
      <c r="J6" s="99">
        <f>SUMIFS(МП!$EL:$EL,МП!$ES:$ES,$A6)</f>
        <v>0</v>
      </c>
      <c r="K6" s="99">
        <f t="shared" si="3"/>
        <v>0</v>
      </c>
      <c r="L6" s="99">
        <f t="shared" si="0"/>
        <v>0</v>
      </c>
      <c r="M6" s="100">
        <f>IFERROR(AVERAGEIFS(МП!$EP:$EP,МП!$ES:$ES,$A6),0)</f>
        <v>0</v>
      </c>
      <c r="N6" s="99">
        <f>SUMIFS(МП!$EE:$EE,МП!$ES:$ES,$A6,МП!$CV:$CV,"подтверждено")</f>
        <v>0</v>
      </c>
      <c r="O6" s="99">
        <f>SUMIFS(МП!$EI:$EI,МП!$ES:$ES,$A6,МП!$CV:$CV,"подтверждено")</f>
        <v>0</v>
      </c>
      <c r="P6" s="99">
        <f>SUMIFS(МП!$EL:$EL,МП!$ES:$ES,$A6,МП!$CV:$CV,"подтверждено")</f>
        <v>0</v>
      </c>
      <c r="Q6" s="99">
        <f t="shared" si="4"/>
        <v>0</v>
      </c>
      <c r="R6" s="99">
        <f t="shared" si="5"/>
        <v>0</v>
      </c>
    </row>
    <row r="7" spans="1:18" x14ac:dyDescent="0.2">
      <c r="A7" s="98"/>
      <c r="B7" s="99">
        <f>SUMIFS(МП!$CC:$CC,МП!$ES:$ES,$A7)</f>
        <v>0</v>
      </c>
      <c r="C7" s="99">
        <f>SUMIFS(МП!$CE:$CE,МП!$ES:$ES,$A7)</f>
        <v>0</v>
      </c>
      <c r="D7" s="99">
        <f>SUMIFS(МП!$CG:$CG,МП!$ES:$ES,$A7)</f>
        <v>0</v>
      </c>
      <c r="E7" s="99">
        <f t="shared" si="1"/>
        <v>0</v>
      </c>
      <c r="F7" s="99">
        <f t="shared" si="2"/>
        <v>0</v>
      </c>
      <c r="G7" s="100">
        <f>IFERROR(AVERAGEIFS(МП!$CM:$CM,МП!$ES:$ES,$A7),0)</f>
        <v>0</v>
      </c>
      <c r="H7" s="99">
        <f>SUMIFS(МП!$EE:$EE,МП!$ES:$ES,$A7)</f>
        <v>0</v>
      </c>
      <c r="I7" s="99">
        <f>SUMIFS(МП!$EI:$EI,МП!$ES:$ES,$A7)</f>
        <v>0</v>
      </c>
      <c r="J7" s="99">
        <f>SUMIFS(МП!$EL:$EL,МП!$ES:$ES,$A7)</f>
        <v>0</v>
      </c>
      <c r="K7" s="99">
        <f>SUM(H7:J7)</f>
        <v>0</v>
      </c>
      <c r="L7" s="99">
        <f t="shared" si="0"/>
        <v>0</v>
      </c>
      <c r="M7" s="100">
        <f>IFERROR(AVERAGEIFS(МП!$EP:$EP,МП!$ES:$ES,$A7),0)</f>
        <v>0</v>
      </c>
      <c r="N7" s="99">
        <f>SUMIFS(МП!$EE:$EE,МП!$ES:$ES,$A7,МП!$CV:$CV,"подтверждено")</f>
        <v>0</v>
      </c>
      <c r="O7" s="99">
        <f>SUMIFS(МП!$EI:$EI,МП!$ES:$ES,$A7,МП!$CV:$CV,"подтверждено")</f>
        <v>0</v>
      </c>
      <c r="P7" s="99">
        <f>SUMIFS(МП!$EL:$EL,МП!$ES:$ES,$A7,МП!$CV:$CV,"подтверждено")</f>
        <v>0</v>
      </c>
      <c r="Q7" s="99">
        <f t="shared" si="4"/>
        <v>0</v>
      </c>
      <c r="R7" s="99">
        <f t="shared" si="5"/>
        <v>0</v>
      </c>
    </row>
    <row r="8" spans="1:18" x14ac:dyDescent="0.2">
      <c r="A8" s="98"/>
      <c r="B8" s="99">
        <f>SUMIFS(МП!$CC:$CC,МП!$ES:$ES,$A8)</f>
        <v>0</v>
      </c>
      <c r="C8" s="99">
        <f>SUMIFS(МП!$CE:$CE,МП!$ES:$ES,$A8)</f>
        <v>0</v>
      </c>
      <c r="D8" s="99">
        <f>SUMIFS(МП!$CG:$CG,МП!$ES:$ES,$A8)</f>
        <v>0</v>
      </c>
      <c r="E8" s="99">
        <f t="shared" si="1"/>
        <v>0</v>
      </c>
      <c r="F8" s="99">
        <f t="shared" si="2"/>
        <v>0</v>
      </c>
      <c r="G8" s="100">
        <f>IFERROR(AVERAGEIFS(МП!$CM:$CM,МП!$ES:$ES,$A8),0)</f>
        <v>0</v>
      </c>
      <c r="H8" s="99">
        <f>SUMIFS(МП!$EE:$EE,МП!$ES:$ES,$A8)</f>
        <v>0</v>
      </c>
      <c r="I8" s="99">
        <f>SUMIFS(МП!$EI:$EI,МП!$ES:$ES,$A8)</f>
        <v>0</v>
      </c>
      <c r="J8" s="99">
        <f>SUMIFS(МП!$EL:$EL,МП!$ES:$ES,$A8)</f>
        <v>0</v>
      </c>
      <c r="K8" s="99">
        <f>SUM(H8:J8)</f>
        <v>0</v>
      </c>
      <c r="L8" s="99">
        <f t="shared" si="0"/>
        <v>0</v>
      </c>
      <c r="M8" s="100">
        <f>IFERROR(AVERAGEIFS(МП!$EP:$EP,МП!$ES:$ES,$A8),0)</f>
        <v>0</v>
      </c>
      <c r="N8" s="99">
        <f>SUMIFS(МП!$EE:$EE,МП!$ES:$ES,$A8,МП!$CV:$CV,"подтверждено")</f>
        <v>0</v>
      </c>
      <c r="O8" s="99">
        <f>SUMIFS(МП!$EI:$EI,МП!$ES:$ES,$A8,МП!$CV:$CV,"подтверждено")</f>
        <v>0</v>
      </c>
      <c r="P8" s="99">
        <f>SUMIFS(МП!$EL:$EL,МП!$ES:$ES,$A8,МП!$CV:$CV,"подтверждено")</f>
        <v>0</v>
      </c>
      <c r="Q8" s="99">
        <f t="shared" si="4"/>
        <v>0</v>
      </c>
      <c r="R8" s="99">
        <f t="shared" si="5"/>
        <v>0</v>
      </c>
    </row>
    <row r="9" spans="1:18" x14ac:dyDescent="0.2">
      <c r="A9" s="98"/>
      <c r="B9" s="99">
        <f>SUMIFS(МП!$CC:$CC,МП!$ES:$ES,$A9)</f>
        <v>0</v>
      </c>
      <c r="C9" s="99">
        <f>SUMIFS(МП!$CE:$CE,МП!$ES:$ES,$A9)</f>
        <v>0</v>
      </c>
      <c r="D9" s="99">
        <f>SUMIFS(МП!$CG:$CG,МП!$ES:$ES,$A9)</f>
        <v>0</v>
      </c>
      <c r="E9" s="99">
        <f t="shared" si="1"/>
        <v>0</v>
      </c>
      <c r="F9" s="99">
        <f t="shared" si="2"/>
        <v>0</v>
      </c>
      <c r="G9" s="100">
        <f>IFERROR(AVERAGEIFS(МП!$CM:$CM,МП!$ES:$ES,$A9),0)</f>
        <v>0</v>
      </c>
      <c r="H9" s="99">
        <f>SUMIFS(МП!$EE:$EE,МП!$ES:$ES,$A9)</f>
        <v>0</v>
      </c>
      <c r="I9" s="99">
        <f>SUMIFS(МП!$EI:$EI,МП!$ES:$ES,$A9)</f>
        <v>0</v>
      </c>
      <c r="J9" s="99">
        <f>SUMIFS(МП!$EL:$EL,МП!$ES:$ES,$A9)</f>
        <v>0</v>
      </c>
      <c r="K9" s="99">
        <f>SUM(H9:J9)</f>
        <v>0</v>
      </c>
      <c r="L9" s="99">
        <f t="shared" si="0"/>
        <v>0</v>
      </c>
      <c r="M9" s="100">
        <f>IFERROR(AVERAGEIFS(МП!$EP:$EP,МП!$ES:$ES,$A9),0)</f>
        <v>0</v>
      </c>
      <c r="N9" s="99">
        <f>SUMIFS(МП!$EE:$EE,МП!$ES:$ES,$A9,МП!$CV:$CV,"подтверждено")</f>
        <v>0</v>
      </c>
      <c r="O9" s="99">
        <f>SUMIFS(МП!$EI:$EI,МП!$ES:$ES,$A9,МП!$CV:$CV,"подтверждено")</f>
        <v>0</v>
      </c>
      <c r="P9" s="99">
        <f>SUMIFS(МП!$EL:$EL,МП!$ES:$ES,$A9,МП!$CV:$CV,"подтверждено")</f>
        <v>0</v>
      </c>
      <c r="Q9" s="99">
        <f t="shared" si="4"/>
        <v>0</v>
      </c>
      <c r="R9" s="99">
        <f t="shared" si="5"/>
        <v>0</v>
      </c>
    </row>
    <row r="10" spans="1:18" x14ac:dyDescent="0.2">
      <c r="A10" s="98"/>
      <c r="B10" s="99">
        <f>SUMIFS(МП!$CC:$CC,МП!$ES:$ES,$A10)</f>
        <v>0</v>
      </c>
      <c r="C10" s="99">
        <f>SUMIFS(МП!$CE:$CE,МП!$ES:$ES,$A10)</f>
        <v>0</v>
      </c>
      <c r="D10" s="99">
        <f>SUMIFS(МП!$CG:$CG,МП!$ES:$ES,$A10)</f>
        <v>0</v>
      </c>
      <c r="E10" s="99">
        <f t="shared" si="1"/>
        <v>0</v>
      </c>
      <c r="F10" s="99">
        <f t="shared" si="2"/>
        <v>0</v>
      </c>
      <c r="G10" s="100">
        <f>IFERROR(AVERAGEIFS(МП!$CM:$CM,МП!$ES:$ES,$A10),0)</f>
        <v>0</v>
      </c>
      <c r="H10" s="99">
        <f>SUMIFS(МП!$EE:$EE,МП!$ES:$ES,$A10)</f>
        <v>0</v>
      </c>
      <c r="I10" s="99">
        <f>SUMIFS(МП!$EI:$EI,МП!$ES:$ES,$A10)</f>
        <v>0</v>
      </c>
      <c r="J10" s="99">
        <f>SUMIFS(МП!$EL:$EL,МП!$ES:$ES,$A10)</f>
        <v>0</v>
      </c>
      <c r="K10" s="99">
        <f t="shared" si="3"/>
        <v>0</v>
      </c>
      <c r="L10" s="99">
        <f t="shared" si="0"/>
        <v>0</v>
      </c>
      <c r="M10" s="100">
        <f>IFERROR(AVERAGEIFS(МП!$EP:$EP,МП!$ES:$ES,$A10),0)</f>
        <v>0</v>
      </c>
      <c r="N10" s="99">
        <f>SUMIFS(МП!$EE:$EE,МП!$ES:$ES,$A10,МП!$CV:$CV,"подтверждено")</f>
        <v>0</v>
      </c>
      <c r="O10" s="99">
        <f>SUMIFS(МП!$EI:$EI,МП!$ES:$ES,$A10,МП!$CV:$CV,"подтверждено")</f>
        <v>0</v>
      </c>
      <c r="P10" s="99">
        <f>SUMIFS(МП!$EL:$EL,МП!$ES:$ES,$A10,МП!$CV:$CV,"подтверждено")</f>
        <v>0</v>
      </c>
      <c r="Q10" s="99">
        <f t="shared" si="4"/>
        <v>0</v>
      </c>
      <c r="R10" s="99">
        <f t="shared" si="5"/>
        <v>0</v>
      </c>
    </row>
    <row r="11" spans="1:18" x14ac:dyDescent="0.2">
      <c r="A11" s="98"/>
      <c r="B11" s="99">
        <f>SUMIFS(МП!$CC:$CC,МП!$ES:$ES,$A11)</f>
        <v>0</v>
      </c>
      <c r="C11" s="99">
        <f>SUMIFS(МП!$CE:$CE,МП!$ES:$ES,$A11)</f>
        <v>0</v>
      </c>
      <c r="D11" s="99">
        <f>SUMIFS(МП!$CG:$CG,МП!$ES:$ES,$A11)</f>
        <v>0</v>
      </c>
      <c r="E11" s="99">
        <f t="shared" si="1"/>
        <v>0</v>
      </c>
      <c r="F11" s="99">
        <f t="shared" si="2"/>
        <v>0</v>
      </c>
      <c r="G11" s="100">
        <f>IFERROR(AVERAGEIFS(МП!$CM:$CM,МП!$ES:$ES,$A11),0)</f>
        <v>0</v>
      </c>
      <c r="H11" s="99">
        <f>SUMIFS(МП!$EE:$EE,МП!$ES:$ES,$A11)</f>
        <v>0</v>
      </c>
      <c r="I11" s="99">
        <f>SUMIFS(МП!$EI:$EI,МП!$ES:$ES,$A11)</f>
        <v>0</v>
      </c>
      <c r="J11" s="99">
        <f>SUMIFS(МП!$EL:$EL,МП!$ES:$ES,$A11)</f>
        <v>0</v>
      </c>
      <c r="K11" s="99">
        <f t="shared" si="3"/>
        <v>0</v>
      </c>
      <c r="L11" s="99">
        <f t="shared" si="0"/>
        <v>0</v>
      </c>
      <c r="M11" s="100">
        <f>IFERROR(AVERAGEIFS(МП!$EP:$EP,МП!$ES:$ES,$A11),0)</f>
        <v>0</v>
      </c>
      <c r="N11" s="99">
        <f>SUMIFS(МП!$EE:$EE,МП!$ES:$ES,$A11,МП!$CV:$CV,"подтверждено")</f>
        <v>0</v>
      </c>
      <c r="O11" s="99">
        <f>SUMIFS(МП!$EI:$EI,МП!$ES:$ES,$A11,МП!$CV:$CV,"подтверждено")</f>
        <v>0</v>
      </c>
      <c r="P11" s="99">
        <f>SUMIFS(МП!$EL:$EL,МП!$ES:$ES,$A11,МП!$CV:$CV,"подтверждено")</f>
        <v>0</v>
      </c>
      <c r="Q11" s="99">
        <f t="shared" si="4"/>
        <v>0</v>
      </c>
      <c r="R11" s="99">
        <f t="shared" si="5"/>
        <v>0</v>
      </c>
    </row>
    <row r="12" spans="1:18" x14ac:dyDescent="0.2">
      <c r="A12" s="98"/>
      <c r="B12" s="99">
        <f>SUMIFS(МП!$CC:$CC,МП!$ES:$ES,$A12)</f>
        <v>0</v>
      </c>
      <c r="C12" s="99">
        <f>SUMIFS(МП!$CE:$CE,МП!$ES:$ES,$A12)</f>
        <v>0</v>
      </c>
      <c r="D12" s="99">
        <f>SUMIFS(МП!$CG:$CG,МП!$ES:$ES,$A12)</f>
        <v>0</v>
      </c>
      <c r="E12" s="99">
        <f t="shared" si="1"/>
        <v>0</v>
      </c>
      <c r="F12" s="99">
        <f t="shared" si="2"/>
        <v>0</v>
      </c>
      <c r="G12" s="100">
        <f>IFERROR(AVERAGEIFS(МП!$CM:$CM,МП!$ES:$ES,$A12),0)</f>
        <v>0</v>
      </c>
      <c r="H12" s="99">
        <f>SUMIFS(МП!$EE:$EE,МП!$ES:$ES,$A12)</f>
        <v>0</v>
      </c>
      <c r="I12" s="99">
        <f>SUMIFS(МП!$EI:$EI,МП!$ES:$ES,$A12)</f>
        <v>0</v>
      </c>
      <c r="J12" s="99">
        <f>SUMIFS(МП!$EL:$EL,МП!$ES:$ES,$A12)</f>
        <v>0</v>
      </c>
      <c r="K12" s="99">
        <f t="shared" si="3"/>
        <v>0</v>
      </c>
      <c r="L12" s="99">
        <f t="shared" si="0"/>
        <v>0</v>
      </c>
      <c r="M12" s="100">
        <f>IFERROR(AVERAGEIFS(МП!$EP:$EP,МП!$ES:$ES,$A12),0)</f>
        <v>0</v>
      </c>
      <c r="N12" s="99">
        <f>SUMIFS(МП!$EE:$EE,МП!$ES:$ES,$A12,МП!$CV:$CV,"подтверждено")</f>
        <v>0</v>
      </c>
      <c r="O12" s="99">
        <f>SUMIFS(МП!$EI:$EI,МП!$ES:$ES,$A12,МП!$CV:$CV,"подтверждено")</f>
        <v>0</v>
      </c>
      <c r="P12" s="99">
        <f>SUMIFS(МП!$EL:$EL,МП!$ES:$ES,$A12,МП!$CV:$CV,"подтверждено")</f>
        <v>0</v>
      </c>
      <c r="Q12" s="99">
        <f t="shared" si="4"/>
        <v>0</v>
      </c>
      <c r="R12" s="99">
        <f t="shared" si="5"/>
        <v>0</v>
      </c>
    </row>
    <row r="13" spans="1:18" x14ac:dyDescent="0.2">
      <c r="A13" s="98"/>
      <c r="B13" s="99">
        <f>SUMIFS(МП!$CC:$CC,МП!$ES:$ES,$A13)</f>
        <v>0</v>
      </c>
      <c r="C13" s="99">
        <f>SUMIFS(МП!$CE:$CE,МП!$ES:$ES,$A13)</f>
        <v>0</v>
      </c>
      <c r="D13" s="99">
        <f>SUMIFS(МП!$CG:$CG,МП!$ES:$ES,$A13)</f>
        <v>0</v>
      </c>
      <c r="E13" s="99">
        <f t="shared" si="1"/>
        <v>0</v>
      </c>
      <c r="F13" s="99">
        <f t="shared" si="2"/>
        <v>0</v>
      </c>
      <c r="G13" s="100">
        <f>IFERROR(AVERAGEIFS(МП!$CM:$CM,МП!$ES:$ES,$A13),0)</f>
        <v>0</v>
      </c>
      <c r="H13" s="99">
        <f>SUMIFS(МП!$EE:$EE,МП!$ES:$ES,$A13)</f>
        <v>0</v>
      </c>
      <c r="I13" s="99">
        <f>SUMIFS(МП!$EI:$EI,МП!$ES:$ES,$A13)</f>
        <v>0</v>
      </c>
      <c r="J13" s="99">
        <f>SUMIFS(МП!$EL:$EL,МП!$ES:$ES,$A13)</f>
        <v>0</v>
      </c>
      <c r="K13" s="99">
        <f t="shared" si="3"/>
        <v>0</v>
      </c>
      <c r="L13" s="99">
        <f t="shared" si="0"/>
        <v>0</v>
      </c>
      <c r="M13" s="100">
        <f>IFERROR(AVERAGEIFS(МП!$EP:$EP,МП!$ES:$ES,$A13),0)</f>
        <v>0</v>
      </c>
      <c r="N13" s="99">
        <f>SUMIFS(МП!$EE:$EE,МП!$ES:$ES,$A13,МП!$CV:$CV,"подтверждено")</f>
        <v>0</v>
      </c>
      <c r="O13" s="99">
        <f>SUMIFS(МП!$EI:$EI,МП!$ES:$ES,$A13,МП!$CV:$CV,"подтверждено")</f>
        <v>0</v>
      </c>
      <c r="P13" s="99">
        <f>SUMIFS(МП!$EL:$EL,МП!$ES:$ES,$A13,МП!$CV:$CV,"подтверждено")</f>
        <v>0</v>
      </c>
      <c r="Q13" s="99">
        <f t="shared" si="4"/>
        <v>0</v>
      </c>
      <c r="R13" s="99">
        <f t="shared" si="5"/>
        <v>0</v>
      </c>
    </row>
    <row r="14" spans="1:18" x14ac:dyDescent="0.2">
      <c r="A14" s="98"/>
      <c r="B14" s="99">
        <f>SUMIFS(МП!$CC:$CC,МП!$ES:$ES,$A14)</f>
        <v>0</v>
      </c>
      <c r="C14" s="99">
        <f>SUMIFS(МП!$CE:$CE,МП!$ES:$ES,$A14)</f>
        <v>0</v>
      </c>
      <c r="D14" s="99">
        <f>SUMIFS(МП!$CG:$CG,МП!$ES:$ES,$A14)</f>
        <v>0</v>
      </c>
      <c r="E14" s="99">
        <f t="shared" si="1"/>
        <v>0</v>
      </c>
      <c r="F14" s="99">
        <f t="shared" si="2"/>
        <v>0</v>
      </c>
      <c r="G14" s="100">
        <f>IFERROR(AVERAGEIFS(МП!$CM:$CM,МП!$ES:$ES,$A14),0)</f>
        <v>0</v>
      </c>
      <c r="H14" s="99">
        <f>SUMIFS(МП!$EE:$EE,МП!$ES:$ES,$A14)</f>
        <v>0</v>
      </c>
      <c r="I14" s="99">
        <f>SUMIFS(МП!$EI:$EI,МП!$ES:$ES,$A14)</f>
        <v>0</v>
      </c>
      <c r="J14" s="99">
        <f>SUMIFS(МП!$EL:$EL,МП!$ES:$ES,$A14)</f>
        <v>0</v>
      </c>
      <c r="K14" s="99">
        <f t="shared" si="3"/>
        <v>0</v>
      </c>
      <c r="L14" s="99">
        <f t="shared" si="0"/>
        <v>0</v>
      </c>
      <c r="M14" s="100">
        <f>IFERROR(AVERAGEIFS(МП!$EP:$EP,МП!$ES:$ES,$A14),0)</f>
        <v>0</v>
      </c>
      <c r="N14" s="99">
        <f>SUMIFS(МП!$EE:$EE,МП!$ES:$ES,$A14,МП!$CV:$CV,"подтверждено")</f>
        <v>0</v>
      </c>
      <c r="O14" s="99">
        <f>SUMIFS(МП!$EI:$EI,МП!$ES:$ES,$A14,МП!$CV:$CV,"подтверждено")</f>
        <v>0</v>
      </c>
      <c r="P14" s="99">
        <f>SUMIFS(МП!$EL:$EL,МП!$ES:$ES,$A14,МП!$CV:$CV,"подтверждено")</f>
        <v>0</v>
      </c>
      <c r="Q14" s="99">
        <f t="shared" si="4"/>
        <v>0</v>
      </c>
      <c r="R14" s="99">
        <f t="shared" si="5"/>
        <v>0</v>
      </c>
    </row>
    <row r="15" spans="1:18" x14ac:dyDescent="0.2">
      <c r="A15" s="98"/>
      <c r="B15" s="99">
        <f>SUMIFS(МП!$CC:$CC,МП!$ES:$ES,$A15)</f>
        <v>0</v>
      </c>
      <c r="C15" s="99">
        <f>SUMIFS(МП!$CE:$CE,МП!$ES:$ES,$A15)</f>
        <v>0</v>
      </c>
      <c r="D15" s="99">
        <f>SUMIFS(МП!$CG:$CG,МП!$ES:$ES,$A15)</f>
        <v>0</v>
      </c>
      <c r="E15" s="99">
        <f t="shared" si="1"/>
        <v>0</v>
      </c>
      <c r="F15" s="99">
        <f t="shared" si="2"/>
        <v>0</v>
      </c>
      <c r="G15" s="100">
        <f>IFERROR(AVERAGEIFS(МП!$CM:$CM,МП!$ES:$ES,$A15),0)</f>
        <v>0</v>
      </c>
      <c r="H15" s="99">
        <f>SUMIFS(МП!$EE:$EE,МП!$ES:$ES,$A15)</f>
        <v>0</v>
      </c>
      <c r="I15" s="99">
        <f>SUMIFS(МП!$EI:$EI,МП!$ES:$ES,$A15)</f>
        <v>0</v>
      </c>
      <c r="J15" s="99">
        <f>SUMIFS(МП!$EL:$EL,МП!$ES:$ES,$A15)</f>
        <v>0</v>
      </c>
      <c r="K15" s="99">
        <f t="shared" si="3"/>
        <v>0</v>
      </c>
      <c r="L15" s="99">
        <f t="shared" si="0"/>
        <v>0</v>
      </c>
      <c r="M15" s="100">
        <f>IFERROR(AVERAGEIFS(МП!$EP:$EP,МП!$ES:$ES,$A15),0)</f>
        <v>0</v>
      </c>
      <c r="N15" s="99">
        <f>SUMIFS(МП!$EE:$EE,МП!$ES:$ES,$A15,МП!$CV:$CV,"подтверждено")</f>
        <v>0</v>
      </c>
      <c r="O15" s="99">
        <f>SUMIFS(МП!$EI:$EI,МП!$ES:$ES,$A15,МП!$CV:$CV,"подтверждено")</f>
        <v>0</v>
      </c>
      <c r="P15" s="99">
        <f>SUMIFS(МП!$EL:$EL,МП!$ES:$ES,$A15,МП!$CV:$CV,"подтверждено")</f>
        <v>0</v>
      </c>
      <c r="Q15" s="99">
        <f t="shared" si="4"/>
        <v>0</v>
      </c>
      <c r="R15" s="99">
        <f t="shared" si="5"/>
        <v>0</v>
      </c>
    </row>
    <row r="16" spans="1:18" x14ac:dyDescent="0.2">
      <c r="A16" s="98"/>
      <c r="B16" s="99">
        <f>SUMIFS(МП!$CC:$CC,МП!$ES:$ES,$A16)</f>
        <v>0</v>
      </c>
      <c r="C16" s="99">
        <f>SUMIFS(МП!$CE:$CE,МП!$ES:$ES,$A16)</f>
        <v>0</v>
      </c>
      <c r="D16" s="99">
        <f>SUMIFS(МП!$CG:$CG,МП!$ES:$ES,$A16)</f>
        <v>0</v>
      </c>
      <c r="E16" s="99">
        <f t="shared" si="1"/>
        <v>0</v>
      </c>
      <c r="F16" s="99">
        <f t="shared" si="2"/>
        <v>0</v>
      </c>
      <c r="G16" s="100">
        <f>IFERROR(AVERAGEIFS(МП!$CM:$CM,МП!$ES:$ES,$A16),0)</f>
        <v>0</v>
      </c>
      <c r="H16" s="99">
        <f>SUMIFS(МП!$EE:$EE,МП!$ES:$ES,$A16)</f>
        <v>0</v>
      </c>
      <c r="I16" s="99">
        <f>SUMIFS(МП!$EI:$EI,МП!$ES:$ES,$A16)</f>
        <v>0</v>
      </c>
      <c r="J16" s="99">
        <f>SUMIFS(МП!$EL:$EL,МП!$ES:$ES,$A16)</f>
        <v>0</v>
      </c>
      <c r="K16" s="99">
        <f t="shared" si="3"/>
        <v>0</v>
      </c>
      <c r="L16" s="99">
        <f t="shared" si="0"/>
        <v>0</v>
      </c>
      <c r="M16" s="100">
        <f>IFERROR(AVERAGEIFS(МП!$EP:$EP,МП!$ES:$ES,$A16),0)</f>
        <v>0</v>
      </c>
      <c r="N16" s="99">
        <f>SUMIFS(МП!$EE:$EE,МП!$ES:$ES,$A16,МП!$CV:$CV,"подтверждено")</f>
        <v>0</v>
      </c>
      <c r="O16" s="99">
        <f>SUMIFS(МП!$EI:$EI,МП!$ES:$ES,$A16,МП!$CV:$CV,"подтверждено")</f>
        <v>0</v>
      </c>
      <c r="P16" s="99">
        <f>SUMIFS(МП!$EL:$EL,МП!$ES:$ES,$A16,МП!$CV:$CV,"подтверждено")</f>
        <v>0</v>
      </c>
      <c r="Q16" s="99">
        <f t="shared" si="4"/>
        <v>0</v>
      </c>
      <c r="R16" s="99">
        <f t="shared" si="5"/>
        <v>0</v>
      </c>
    </row>
    <row r="17" spans="1:18" x14ac:dyDescent="0.2">
      <c r="A17" s="98"/>
      <c r="B17" s="99">
        <f>SUMIFS(МП!$CC:$CC,МП!$ES:$ES,$A17)</f>
        <v>0</v>
      </c>
      <c r="C17" s="99">
        <f>SUMIFS(МП!$CE:$CE,МП!$ES:$ES,$A17)</f>
        <v>0</v>
      </c>
      <c r="D17" s="99">
        <f>SUMIFS(МП!$CG:$CG,МП!$ES:$ES,$A17)</f>
        <v>0</v>
      </c>
      <c r="E17" s="99">
        <f t="shared" si="1"/>
        <v>0</v>
      </c>
      <c r="F17" s="99">
        <f t="shared" si="2"/>
        <v>0</v>
      </c>
      <c r="G17" s="100">
        <f>IFERROR(AVERAGEIFS(МП!$CM:$CM,МП!$ES:$ES,$A17),0)</f>
        <v>0</v>
      </c>
      <c r="H17" s="99">
        <f>SUMIFS(МП!$EE:$EE,МП!$ES:$ES,$A17)</f>
        <v>0</v>
      </c>
      <c r="I17" s="99">
        <f>SUMIFS(МП!$EI:$EI,МП!$ES:$ES,$A17)</f>
        <v>0</v>
      </c>
      <c r="J17" s="99">
        <f>SUMIFS(МП!$EL:$EL,МП!$ES:$ES,$A17)</f>
        <v>0</v>
      </c>
      <c r="K17" s="99">
        <f t="shared" si="3"/>
        <v>0</v>
      </c>
      <c r="L17" s="99">
        <f t="shared" si="0"/>
        <v>0</v>
      </c>
      <c r="M17" s="100">
        <f>IFERROR(AVERAGEIFS(МП!$EP:$EP,МП!$ES:$ES,$A17),0)</f>
        <v>0</v>
      </c>
      <c r="N17" s="99">
        <f>SUMIFS(МП!$EE:$EE,МП!$ES:$ES,$A17,МП!$CV:$CV,"подтверждено")</f>
        <v>0</v>
      </c>
      <c r="O17" s="99">
        <f>SUMIFS(МП!$EI:$EI,МП!$ES:$ES,$A17,МП!$CV:$CV,"подтверждено")</f>
        <v>0</v>
      </c>
      <c r="P17" s="99">
        <f>SUMIFS(МП!$EL:$EL,МП!$ES:$ES,$A17,МП!$CV:$CV,"подтверждено")</f>
        <v>0</v>
      </c>
      <c r="Q17" s="99">
        <f t="shared" si="4"/>
        <v>0</v>
      </c>
      <c r="R17" s="99">
        <f t="shared" si="5"/>
        <v>0</v>
      </c>
    </row>
    <row r="18" spans="1:18" x14ac:dyDescent="0.2">
      <c r="A18" s="98"/>
      <c r="B18" s="99">
        <f>SUMIFS(МП!$CC:$CC,МП!$ES:$ES,$A18)</f>
        <v>0</v>
      </c>
      <c r="C18" s="99">
        <f>SUMIFS(МП!$CE:$CE,МП!$ES:$ES,$A18)</f>
        <v>0</v>
      </c>
      <c r="D18" s="99">
        <f>SUMIFS(МП!$CG:$CG,МП!$ES:$ES,$A18)</f>
        <v>0</v>
      </c>
      <c r="E18" s="99">
        <f t="shared" si="1"/>
        <v>0</v>
      </c>
      <c r="F18" s="99">
        <f t="shared" si="2"/>
        <v>0</v>
      </c>
      <c r="G18" s="100">
        <f>IFERROR(AVERAGEIFS(МП!$CM:$CM,МП!$ES:$ES,$A18),0)</f>
        <v>0</v>
      </c>
      <c r="H18" s="99">
        <f>SUMIFS(МП!$EE:$EE,МП!$ES:$ES,$A18)</f>
        <v>0</v>
      </c>
      <c r="I18" s="99">
        <f>SUMIFS(МП!$EI:$EI,МП!$ES:$ES,$A18)</f>
        <v>0</v>
      </c>
      <c r="J18" s="99">
        <f>SUMIFS(МП!$EL:$EL,МП!$ES:$ES,$A18)</f>
        <v>0</v>
      </c>
      <c r="K18" s="99">
        <f t="shared" si="3"/>
        <v>0</v>
      </c>
      <c r="L18" s="99">
        <f t="shared" si="0"/>
        <v>0</v>
      </c>
      <c r="M18" s="100">
        <f>IFERROR(AVERAGEIFS(МП!$EP:$EP,МП!$ES:$ES,$A18),0)</f>
        <v>0</v>
      </c>
      <c r="N18" s="99">
        <f>SUMIFS(МП!$EE:$EE,МП!$ES:$ES,$A18,МП!$CV:$CV,"подтверждено")</f>
        <v>0</v>
      </c>
      <c r="O18" s="99">
        <f>SUMIFS(МП!$EI:$EI,МП!$ES:$ES,$A18,МП!$CV:$CV,"подтверждено")</f>
        <v>0</v>
      </c>
      <c r="P18" s="99">
        <f>SUMIFS(МП!$EL:$EL,МП!$ES:$ES,$A18,МП!$CV:$CV,"подтверждено")</f>
        <v>0</v>
      </c>
      <c r="Q18" s="99">
        <f t="shared" si="4"/>
        <v>0</v>
      </c>
      <c r="R18" s="99">
        <f t="shared" si="5"/>
        <v>0</v>
      </c>
    </row>
  </sheetData>
  <conditionalFormatting sqref="H4:P18">
    <cfRule type="expression" dxfId="42" priority="9">
      <formula>AND(ROW(H4)=CELL("строка"),#REF!="вкл")</formula>
    </cfRule>
    <cfRule type="containsBlanks" dxfId="41" priority="10">
      <formula>LEN(TRIM(H4))=0</formula>
    </cfRule>
  </conditionalFormatting>
  <conditionalFormatting sqref="Q4:Q18">
    <cfRule type="expression" dxfId="40" priority="7">
      <formula>AND(ROW(Q4)=CELL("строка"),#REF!="вкл")</formula>
    </cfRule>
    <cfRule type="containsBlanks" dxfId="39" priority="8">
      <formula>LEN(TRIM(Q4))=0</formula>
    </cfRule>
  </conditionalFormatting>
  <conditionalFormatting sqref="G4:G18">
    <cfRule type="expression" dxfId="38" priority="5">
      <formula>AND(ROW(G4)=CELL("строка"),#REF!="вкл")</formula>
    </cfRule>
    <cfRule type="containsBlanks" dxfId="37" priority="6">
      <formula>LEN(TRIM(G4))=0</formula>
    </cfRule>
  </conditionalFormatting>
  <conditionalFormatting sqref="R4:R18">
    <cfRule type="expression" dxfId="36" priority="3">
      <formula>AND(ROW(R4)=CELL("строка"),#REF!="вкл")</formula>
    </cfRule>
    <cfRule type="containsBlanks" dxfId="35" priority="4">
      <formula>LEN(TRIM(R4))=0</formula>
    </cfRule>
  </conditionalFormatting>
  <conditionalFormatting sqref="B4:F18">
    <cfRule type="expression" dxfId="34" priority="1">
      <formula>AND(ROW(B4)=CELL("строка"),#REF!="вкл")</formula>
    </cfRule>
    <cfRule type="containsBlanks" dxfId="33" priority="2">
      <formula>LEN(TRIM(B4))=0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803C1-91B8-498E-881B-BF22B8F3E951}">
  <sheetPr codeName="Лист3"/>
  <dimension ref="A1:FP27"/>
  <sheetViews>
    <sheetView showGridLines="0" tabSelected="1" zoomScale="70" zoomScaleNormal="70" workbookViewId="0">
      <selection activeCell="F35" sqref="F35"/>
    </sheetView>
  </sheetViews>
  <sheetFormatPr defaultColWidth="8.7109375" defaultRowHeight="15" outlineLevelCol="2" x14ac:dyDescent="0.25"/>
  <cols>
    <col min="1" max="1" width="4.5703125" style="23" customWidth="1"/>
    <col min="2" max="4" width="15.7109375" style="23" customWidth="1" outlineLevel="2"/>
    <col min="5" max="6" width="20.7109375" style="23" customWidth="1" outlineLevel="1"/>
    <col min="7" max="7" width="15.7109375" style="23" customWidth="1" outlineLevel="1"/>
    <col min="8" max="9" width="15.7109375" style="23" hidden="1" customWidth="1" outlineLevel="2"/>
    <col min="10" max="10" width="15.7109375" style="23" customWidth="1" outlineLevel="1" collapsed="1"/>
    <col min="11" max="12" width="15.7109375" style="23" customWidth="1" outlineLevel="1"/>
    <col min="13" max="13" width="15.7109375" style="28" customWidth="1" outlineLevel="1"/>
    <col min="14" max="15" width="15.7109375" style="28" hidden="1" customWidth="1" outlineLevel="2"/>
    <col min="16" max="16" width="12.7109375" style="23" hidden="1" customWidth="1" outlineLevel="2" collapsed="1"/>
    <col min="17" max="17" width="12.7109375" style="28" customWidth="1" outlineLevel="1" collapsed="1"/>
    <col min="18" max="18" width="12.7109375" style="28" customWidth="1" outlineLevel="1"/>
    <col min="19" max="19" width="13.7109375" style="23" hidden="1" customWidth="1" outlineLevel="2"/>
    <col min="20" max="20" width="13.7109375" style="28" hidden="1" customWidth="1" outlineLevel="2"/>
    <col min="21" max="21" width="13.7109375" style="28" customWidth="1" outlineLevel="1" collapsed="1"/>
    <col min="22" max="22" width="12.7109375" style="28" customWidth="1" outlineLevel="1"/>
    <col min="23" max="23" width="12.7109375" style="23" customWidth="1" outlineLevel="1"/>
    <col min="24" max="25" width="12.7109375" style="23" customWidth="1" outlineLevel="2"/>
    <col min="26" max="27" width="8.7109375" style="29" customWidth="1" outlineLevel="2"/>
    <col min="28" max="35" width="8.7109375" style="23" customWidth="1" outlineLevel="1"/>
    <col min="36" max="37" width="8.7109375" style="23" hidden="1" customWidth="1" outlineLevel="2"/>
    <col min="38" max="39" width="8.7109375" style="30" hidden="1" customWidth="1" outlineLevel="2"/>
    <col min="40" max="41" width="8.7109375" style="23" hidden="1" customWidth="1" outlineLevel="2"/>
    <col min="42" max="42" width="8.7109375" style="30" hidden="1" customWidth="1" outlineLevel="2"/>
    <col min="43" max="43" width="12.7109375" style="31" hidden="1" customWidth="1" outlineLevel="2"/>
    <col min="44" max="44" width="12.7109375" style="29" hidden="1" customWidth="1" outlineLevel="2"/>
    <col min="45" max="46" width="12.7109375" style="30" hidden="1" customWidth="1" outlineLevel="2"/>
    <col min="47" max="47" width="12.7109375" style="32" hidden="1" customWidth="1" outlineLevel="2"/>
    <col min="48" max="48" width="12.7109375" style="30" hidden="1" customWidth="1" outlineLevel="2"/>
    <col min="49" max="51" width="12.7109375" style="23" customWidth="1"/>
    <col min="52" max="63" width="4.5703125" style="23" customWidth="1" outlineLevel="1"/>
    <col min="64" max="64" width="4.5703125" style="30" customWidth="1" outlineLevel="1"/>
    <col min="65" max="65" width="15.7109375" style="30" customWidth="1"/>
    <col min="66" max="66" width="25.7109375" style="33" customWidth="1" outlineLevel="1"/>
    <col min="67" max="67" width="12.5703125" style="23" customWidth="1" outlineLevel="1"/>
    <col min="68" max="68" width="20.7109375" style="23" customWidth="1" outlineLevel="1"/>
    <col min="69" max="81" width="15.7109375" style="23" customWidth="1" outlineLevel="1"/>
    <col min="82" max="87" width="25.7109375" style="34" customWidth="1" outlineLevel="2"/>
    <col min="88" max="88" width="10.5703125" style="34" customWidth="1" outlineLevel="2"/>
    <col min="89" max="90" width="25.7109375" style="34" customWidth="1" outlineLevel="1"/>
    <col min="91" max="91" width="12.7109375" style="35" customWidth="1" outlineLevel="1"/>
    <col min="92" max="92" width="15.5703125" style="35" customWidth="1" outlineLevel="1"/>
    <col min="93" max="93" width="15.7109375" style="28" customWidth="1"/>
    <col min="94" max="94" width="8.7109375" style="23" customWidth="1"/>
    <col min="95" max="98" width="15.7109375" style="28" customWidth="1"/>
    <col min="99" max="99" width="3.5703125" style="79" customWidth="1"/>
    <col min="100" max="100" width="15.7109375" customWidth="1" outlineLevel="1"/>
    <col min="101" max="101" width="15.7109375" style="35" hidden="1" customWidth="1" outlineLevel="2"/>
    <col min="102" max="102" width="15.7109375" style="36" hidden="1" customWidth="1" outlineLevel="2"/>
    <col min="103" max="103" width="15.5703125" customWidth="1" outlineLevel="1" collapsed="1"/>
    <col min="104" max="106" width="15.5703125" customWidth="1" outlineLevel="1"/>
    <col min="107" max="107" width="12.7109375" style="23" customWidth="1" outlineLevel="2"/>
    <col min="108" max="108" width="25.7109375" style="34" customWidth="1" outlineLevel="2"/>
    <col min="109" max="109" width="12.7109375" style="34" customWidth="1" outlineLevel="2" collapsed="1"/>
    <col min="110" max="110" width="12.7109375" style="34" customWidth="1" outlineLevel="2"/>
    <col min="111" max="111" width="25.7109375" style="34" customWidth="1" outlineLevel="2"/>
    <col min="112" max="112" width="12.7109375" style="23" customWidth="1" outlineLevel="2"/>
    <col min="113" max="113" width="25.7109375" style="23" customWidth="1" outlineLevel="2"/>
    <col min="114" max="114" width="25.7109375" style="33" customWidth="1" outlineLevel="1"/>
    <col min="115" max="115" width="10.5703125" style="33" customWidth="1" outlineLevel="2"/>
    <col min="116" max="120" width="12.5703125" style="23" customWidth="1" outlineLevel="2"/>
    <col min="121" max="121" width="12.5703125" style="23" customWidth="1" outlineLevel="1"/>
    <col min="122" max="122" width="20.7109375" style="23" customWidth="1" outlineLevel="1"/>
    <col min="123" max="136" width="15.7109375" style="23" customWidth="1" outlineLevel="1"/>
    <col min="137" max="137" width="10.7109375" style="23" hidden="1" customWidth="1" outlineLevel="2"/>
    <col min="138" max="143" width="25.7109375" style="34" hidden="1" customWidth="1" outlineLevel="2"/>
    <col min="144" max="144" width="25.7109375" style="34" customWidth="1" outlineLevel="1" collapsed="1"/>
    <col min="145" max="145" width="25.7109375" style="34" customWidth="1" outlineLevel="1"/>
    <col min="146" max="146" width="12.7109375" style="35" customWidth="1" outlineLevel="1"/>
    <col min="147" max="147" width="15.5703125" style="35" customWidth="1" outlineLevel="1"/>
    <col min="148" max="152" width="15.7109375" style="28" customWidth="1" outlineLevel="1"/>
    <col min="154" max="154" width="25.85546875" style="23" customWidth="1"/>
    <col min="155" max="155" width="15.7109375" style="23" customWidth="1"/>
    <col min="156" max="162" width="18.5703125" style="23" customWidth="1"/>
    <col min="163" max="16384" width="8.7109375" style="23"/>
  </cols>
  <sheetData>
    <row r="1" spans="1:172" x14ac:dyDescent="0.25">
      <c r="M1" s="23"/>
      <c r="DJ1" s="37">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0</v>
      </c>
      <c r="EX1" s="78"/>
      <c r="EY1" s="78"/>
      <c r="EZ1" s="78"/>
      <c r="FA1" s="78"/>
      <c r="FB1" s="78"/>
      <c r="FC1" s="78"/>
      <c r="FD1" s="78"/>
      <c r="FE1" s="78"/>
      <c r="FF1" s="78"/>
      <c r="FG1" s="78"/>
      <c r="FH1" s="78"/>
      <c r="FI1" s="78"/>
      <c r="FJ1" s="78"/>
      <c r="FK1" s="78"/>
      <c r="FL1" s="78"/>
      <c r="FM1" s="78"/>
      <c r="FN1" s="78"/>
      <c r="FO1" s="78"/>
      <c r="FP1" s="78"/>
    </row>
    <row r="2" spans="1:172" x14ac:dyDescent="0.25">
      <c r="M2" s="38" t="s">
        <v>40</v>
      </c>
      <c r="N2" s="23"/>
      <c r="O2" s="38"/>
      <c r="Q2" s="23"/>
      <c r="R2" s="23"/>
      <c r="U2" s="23"/>
      <c r="V2" s="23"/>
      <c r="EX2" s="78"/>
      <c r="EY2" s="78"/>
      <c r="EZ2" s="78"/>
      <c r="FA2" s="78"/>
      <c r="FB2" s="78"/>
      <c r="FC2" s="78"/>
      <c r="FD2" s="78"/>
      <c r="FE2" s="78"/>
      <c r="FF2" s="78"/>
      <c r="FG2" s="78"/>
      <c r="FH2" s="78"/>
      <c r="FI2" s="78"/>
      <c r="FJ2" s="78"/>
      <c r="FK2" s="78"/>
      <c r="FL2" s="78"/>
      <c r="FM2" s="78"/>
      <c r="FN2" s="78"/>
      <c r="FO2" s="78"/>
      <c r="FP2" s="78"/>
    </row>
    <row r="3" spans="1:172" x14ac:dyDescent="0.25">
      <c r="M3" s="39" t="s">
        <v>162</v>
      </c>
      <c r="N3" s="23"/>
      <c r="O3" s="39"/>
      <c r="Q3" s="23"/>
      <c r="R3" s="23"/>
      <c r="U3" s="23"/>
      <c r="V3" s="23"/>
      <c r="Z3" s="40"/>
      <c r="DK3" s="41"/>
      <c r="DL3" s="33"/>
      <c r="DR3" s="33"/>
      <c r="EX3" s="78"/>
      <c r="EY3" s="78"/>
      <c r="EZ3" s="78"/>
      <c r="FA3" s="78"/>
      <c r="FB3" s="78"/>
      <c r="FC3" s="78"/>
      <c r="FD3" s="78"/>
      <c r="FE3" s="78"/>
      <c r="FF3" s="78"/>
      <c r="FG3" s="78"/>
      <c r="FH3" s="78"/>
      <c r="FI3" s="78"/>
      <c r="FJ3" s="78"/>
      <c r="FK3" s="78"/>
      <c r="FL3" s="78"/>
      <c r="FM3" s="78"/>
      <c r="FN3" s="78"/>
      <c r="FO3" s="78"/>
      <c r="FP3" s="78"/>
    </row>
    <row r="4" spans="1:172" x14ac:dyDescent="0.25">
      <c r="E4" s="7" t="s">
        <v>106</v>
      </c>
      <c r="F4" s="8"/>
      <c r="K4" s="23" t="s">
        <v>13</v>
      </c>
      <c r="M4" s="39" t="s">
        <v>163</v>
      </c>
      <c r="N4" s="23"/>
      <c r="O4" s="39"/>
      <c r="Q4" s="23"/>
      <c r="R4" s="23"/>
      <c r="U4" s="23"/>
      <c r="V4" s="23"/>
      <c r="Z4" s="40"/>
      <c r="AW4" s="30"/>
      <c r="AX4" s="30"/>
      <c r="CD4" s="23"/>
      <c r="CE4" s="23"/>
      <c r="CF4" s="23"/>
      <c r="CG4" s="23"/>
      <c r="CH4" s="23"/>
      <c r="CI4" s="23"/>
      <c r="CJ4" s="23"/>
      <c r="CK4" s="23"/>
      <c r="CL4" s="23"/>
      <c r="CV4" s="23"/>
      <c r="CW4" s="23"/>
      <c r="CX4" s="28"/>
      <c r="CY4" s="23"/>
      <c r="CZ4" s="23"/>
      <c r="DA4" s="23"/>
      <c r="DB4" s="23"/>
      <c r="DD4" s="23"/>
      <c r="DE4" s="23"/>
      <c r="DG4" s="23"/>
      <c r="EH4" s="23"/>
      <c r="EI4" s="23"/>
      <c r="EJ4" s="23"/>
      <c r="EK4" s="23"/>
      <c r="EL4" s="23"/>
      <c r="EM4" s="23"/>
      <c r="EN4" s="23"/>
      <c r="EO4" s="23"/>
      <c r="EX4" s="78"/>
      <c r="EY4" s="78"/>
      <c r="EZ4" s="78"/>
      <c r="FA4" s="78"/>
      <c r="FB4" s="78"/>
      <c r="FC4" s="78"/>
      <c r="FD4" s="78"/>
      <c r="FE4" s="78"/>
      <c r="FF4" s="78"/>
      <c r="FG4" s="78"/>
      <c r="FH4" s="78"/>
      <c r="FI4" s="78"/>
      <c r="FJ4" s="78"/>
      <c r="FK4" s="78"/>
      <c r="FL4" s="78"/>
      <c r="FM4" s="78"/>
      <c r="FN4" s="78"/>
      <c r="FO4" s="78"/>
      <c r="FP4" s="78"/>
    </row>
    <row r="5" spans="1:172" x14ac:dyDescent="0.25">
      <c r="E5" s="7" t="s">
        <v>37</v>
      </c>
      <c r="F5" s="8"/>
      <c r="J5" s="23" t="s">
        <v>13</v>
      </c>
      <c r="M5" s="39" t="s">
        <v>164</v>
      </c>
      <c r="N5" s="23"/>
      <c r="O5" s="39"/>
      <c r="Q5" s="23"/>
      <c r="R5" s="23"/>
      <c r="U5" s="23"/>
      <c r="V5" s="23"/>
      <c r="Z5" s="40"/>
      <c r="CR5" s="28" t="s">
        <v>13</v>
      </c>
      <c r="CY5" t="s">
        <v>13</v>
      </c>
      <c r="DU5" s="23" t="s">
        <v>13</v>
      </c>
      <c r="EX5" s="78"/>
      <c r="EY5" s="78"/>
      <c r="EZ5" s="78"/>
      <c r="FA5" s="78"/>
      <c r="FB5" s="78"/>
      <c r="FC5" s="78"/>
      <c r="FD5" s="78"/>
      <c r="FE5" s="78"/>
      <c r="FF5" s="78"/>
      <c r="FG5" s="78"/>
      <c r="FH5" s="78"/>
      <c r="FI5" s="78"/>
      <c r="FJ5" s="78"/>
      <c r="FK5" s="78"/>
      <c r="FL5" s="78"/>
      <c r="FM5" s="78"/>
      <c r="FN5" s="78"/>
      <c r="FO5" s="78"/>
      <c r="FP5" s="78"/>
    </row>
    <row r="6" spans="1:172" x14ac:dyDescent="0.25">
      <c r="E6" s="7" t="s">
        <v>38</v>
      </c>
      <c r="F6" s="8" t="str" cm="1">
        <f t="array" ref="F6" xml:space="preserve">
IFERROR(
_xlfn.IFS(
SUBTOTAL(9,AW:AW)=0,"",
SUBTOTAL(9,AX:AX)=0,"",
SUBTOTAL(9,AW:AW)+SUBTOTAL(9,AX:AX)=0,"",
SUBTOTAL(9,AW:AW)+SUBTOTAL(9,AX:AX)&lt;&gt;0,
CONCATENATE(TEXT(MIN(AW:AW),"ДД.ММ.ГГГГ"),"-",TEXT(MAX(AX:AX),"ДД.ММ.ГГГГ"))),"")</f>
        <v/>
      </c>
      <c r="M6" s="39" t="s">
        <v>165</v>
      </c>
      <c r="N6" s="23"/>
      <c r="O6" s="39"/>
      <c r="Q6" s="23"/>
      <c r="R6" s="23"/>
      <c r="U6" s="23"/>
      <c r="V6" s="23"/>
      <c r="Z6" s="40"/>
      <c r="BL6" s="23"/>
      <c r="BM6" s="23"/>
      <c r="DL6" s="19"/>
      <c r="DM6" s="44" t="s">
        <v>107</v>
      </c>
      <c r="EI6" s="34" t="s">
        <v>13</v>
      </c>
      <c r="EX6" s="78"/>
      <c r="EY6" s="78"/>
      <c r="EZ6" s="78"/>
      <c r="FA6" s="78"/>
      <c r="FB6" s="78"/>
      <c r="FC6" s="78"/>
      <c r="FD6" s="78"/>
      <c r="FE6" s="78"/>
      <c r="FF6" s="78"/>
      <c r="FG6" s="78"/>
      <c r="FH6" s="78"/>
      <c r="FI6" s="78"/>
      <c r="FJ6" s="78"/>
      <c r="FK6" s="78"/>
      <c r="FL6" s="78"/>
      <c r="FM6" s="78"/>
      <c r="FN6" s="78"/>
      <c r="FO6" s="78"/>
      <c r="FP6" s="78"/>
    </row>
    <row r="7" spans="1:172" x14ac:dyDescent="0.25">
      <c r="E7" s="7" t="s">
        <v>39</v>
      </c>
      <c r="F7" s="8"/>
      <c r="M7" s="39" t="s">
        <v>166</v>
      </c>
      <c r="N7" s="23"/>
      <c r="O7" s="39"/>
      <c r="Q7" s="23"/>
      <c r="R7" s="23"/>
      <c r="U7" s="23"/>
      <c r="V7" s="23"/>
      <c r="AG7" s="23" t="s">
        <v>13</v>
      </c>
      <c r="BL7" s="23"/>
      <c r="BM7" s="23"/>
      <c r="CQ7" s="28" t="s">
        <v>13</v>
      </c>
      <c r="CR7" s="28" t="s">
        <v>13</v>
      </c>
      <c r="DD7" s="42"/>
      <c r="DI7" s="23" t="s">
        <v>13</v>
      </c>
      <c r="DL7" s="106"/>
      <c r="DM7" s="44" t="s">
        <v>171</v>
      </c>
      <c r="DT7" s="23" t="s">
        <v>13</v>
      </c>
      <c r="EX7" s="78"/>
      <c r="EY7" s="78"/>
      <c r="EZ7" s="78"/>
      <c r="FA7" s="78"/>
      <c r="FB7" s="78"/>
      <c r="FC7" s="78"/>
      <c r="FD7" s="78"/>
      <c r="FE7" s="78"/>
      <c r="FF7" s="78"/>
      <c r="FG7" s="78"/>
      <c r="FH7" s="78"/>
      <c r="FI7" s="78"/>
      <c r="FJ7" s="78"/>
      <c r="FK7" s="78"/>
      <c r="FL7" s="78"/>
      <c r="FM7" s="78"/>
      <c r="FN7" s="78"/>
      <c r="FO7" s="78"/>
      <c r="FP7" s="78"/>
    </row>
    <row r="8" spans="1:172" x14ac:dyDescent="0.25">
      <c r="B8" s="24"/>
      <c r="C8" s="24"/>
      <c r="D8" s="24"/>
      <c r="E8" s="26" t="s">
        <v>35</v>
      </c>
      <c r="F8" s="6" t="s">
        <v>36</v>
      </c>
      <c r="J8" s="23" t="s">
        <v>13</v>
      </c>
      <c r="M8" s="39" t="s">
        <v>167</v>
      </c>
      <c r="N8" s="23"/>
      <c r="O8" s="39"/>
      <c r="Q8" s="23"/>
      <c r="R8" s="23"/>
      <c r="U8" s="23"/>
      <c r="V8" s="23"/>
      <c r="AV8" s="30" t="s">
        <v>13</v>
      </c>
      <c r="BL8" s="23"/>
      <c r="BM8" s="23"/>
      <c r="BN8" s="23"/>
      <c r="DD8" s="42"/>
      <c r="DG8" s="42"/>
      <c r="DI8" s="33"/>
      <c r="DL8" s="107"/>
      <c r="DM8" s="44" t="s">
        <v>172</v>
      </c>
      <c r="DQ8" s="23" t="s">
        <v>13</v>
      </c>
      <c r="EX8" s="78"/>
      <c r="EY8" s="78"/>
      <c r="EZ8" s="78"/>
      <c r="FA8" s="78"/>
      <c r="FB8" s="78"/>
      <c r="FC8" s="78"/>
      <c r="FD8" s="78"/>
      <c r="FE8" s="78"/>
      <c r="FF8" s="78"/>
      <c r="FG8" s="78"/>
      <c r="FH8" s="78"/>
      <c r="FI8" s="78"/>
      <c r="FJ8" s="78"/>
      <c r="FK8" s="78"/>
      <c r="FL8" s="78"/>
      <c r="FM8" s="78"/>
      <c r="FN8" s="78"/>
      <c r="FO8" s="78"/>
      <c r="FP8" s="78"/>
    </row>
    <row r="9" spans="1:172" x14ac:dyDescent="0.25">
      <c r="B9" s="24"/>
      <c r="C9" s="24"/>
      <c r="D9" s="24"/>
      <c r="G9" s="24"/>
      <c r="I9" s="24"/>
      <c r="J9" s="24" t="s">
        <v>13</v>
      </c>
      <c r="K9" s="24"/>
      <c r="M9" s="39" t="s">
        <v>168</v>
      </c>
      <c r="N9" s="23"/>
      <c r="O9" s="39"/>
      <c r="Q9" s="23"/>
      <c r="R9" s="23"/>
      <c r="U9" s="23"/>
      <c r="V9" s="23"/>
      <c r="AY9" s="30"/>
      <c r="BL9" s="23"/>
      <c r="BM9" s="23"/>
      <c r="BN9" s="23"/>
      <c r="CD9" s="23"/>
      <c r="CE9" s="23"/>
      <c r="CF9" s="23"/>
      <c r="CG9" s="23"/>
      <c r="CH9" s="23"/>
      <c r="CI9" s="23"/>
      <c r="CJ9" s="23"/>
      <c r="CK9" s="23"/>
      <c r="CL9" s="23"/>
      <c r="CP9" s="23" t="s">
        <v>13</v>
      </c>
      <c r="DD9" s="23"/>
      <c r="DE9" s="23"/>
      <c r="DF9" s="23"/>
      <c r="DG9" s="23"/>
      <c r="DK9" s="23"/>
      <c r="DL9" s="105"/>
      <c r="DM9" s="44" t="s">
        <v>174</v>
      </c>
      <c r="DR9" s="33"/>
      <c r="DS9" s="30"/>
      <c r="DT9" s="30"/>
      <c r="DU9" s="30"/>
      <c r="DV9" s="30"/>
      <c r="DW9" s="30"/>
      <c r="DX9" s="30"/>
      <c r="DY9" s="30"/>
      <c r="DZ9" s="30"/>
      <c r="EA9" s="30"/>
      <c r="EB9" s="30"/>
      <c r="EC9" s="30"/>
      <c r="ED9" s="30"/>
      <c r="EF9" s="33"/>
      <c r="EH9" s="23"/>
      <c r="EI9" s="23"/>
      <c r="EJ9" s="23"/>
      <c r="EK9" s="23"/>
      <c r="EL9" s="23"/>
      <c r="EM9" s="23"/>
      <c r="EN9" s="23"/>
      <c r="EO9" s="23"/>
      <c r="EV9" s="28" t="s">
        <v>13</v>
      </c>
      <c r="EX9" s="78"/>
      <c r="EY9" s="78"/>
      <c r="EZ9" s="78"/>
      <c r="FA9" s="78"/>
      <c r="FB9" s="78"/>
      <c r="FC9" s="78"/>
      <c r="FD9" s="78"/>
      <c r="FE9" s="78"/>
      <c r="FF9" s="78"/>
      <c r="FG9" s="78"/>
      <c r="FH9" s="78"/>
      <c r="FI9" s="78"/>
      <c r="FJ9" s="78"/>
      <c r="FK9" s="78"/>
      <c r="FL9" s="78"/>
      <c r="FM9" s="78"/>
      <c r="FN9" s="78"/>
      <c r="FO9" s="78"/>
      <c r="FP9" s="78"/>
    </row>
    <row r="10" spans="1:172" x14ac:dyDescent="0.25">
      <c r="B10" s="24"/>
      <c r="C10" s="24"/>
      <c r="D10" s="24"/>
      <c r="E10" s="101" t="s">
        <v>160</v>
      </c>
      <c r="F10" s="102">
        <f ca="1">TODAY()+6</f>
        <v>45858</v>
      </c>
      <c r="G10" s="24"/>
      <c r="I10" s="24"/>
      <c r="J10" s="24"/>
      <c r="K10" s="24"/>
      <c r="M10" s="39" t="s">
        <v>169</v>
      </c>
      <c r="O10" s="39"/>
      <c r="AH10" s="23" t="s">
        <v>13</v>
      </c>
      <c r="DI10" s="33"/>
      <c r="DL10" s="104"/>
      <c r="DM10" s="44" t="s">
        <v>173</v>
      </c>
      <c r="ER10" s="28" t="s">
        <v>13</v>
      </c>
      <c r="EX10" s="78"/>
      <c r="EY10" s="78"/>
      <c r="EZ10" s="78"/>
      <c r="FA10" s="78"/>
      <c r="FB10" s="78"/>
      <c r="FC10" s="78"/>
      <c r="FD10" s="78"/>
      <c r="FE10" s="78"/>
      <c r="FF10" s="78"/>
      <c r="FG10" s="78"/>
      <c r="FH10" s="78"/>
      <c r="FI10" s="78"/>
      <c r="FJ10" s="78"/>
      <c r="FK10" s="78"/>
      <c r="FL10" s="78"/>
      <c r="FM10" s="78"/>
      <c r="FN10" s="78"/>
      <c r="FO10" s="78"/>
      <c r="FP10" s="78"/>
    </row>
    <row r="11" spans="1:172" x14ac:dyDescent="0.25">
      <c r="B11" s="24"/>
      <c r="C11" s="24"/>
      <c r="D11" s="24"/>
      <c r="F11" s="27"/>
      <c r="G11" s="24"/>
      <c r="H11" s="24"/>
      <c r="I11" s="24"/>
      <c r="J11" s="24"/>
      <c r="K11" s="24"/>
      <c r="L11" s="45"/>
      <c r="N11" s="45"/>
      <c r="O11" s="39"/>
      <c r="P11" s="45"/>
      <c r="Q11" s="45"/>
      <c r="R11" s="45"/>
      <c r="S11" s="45"/>
      <c r="T11" s="46"/>
      <c r="U11" s="45"/>
      <c r="V11" s="45"/>
      <c r="W11" s="45"/>
      <c r="X11" s="45"/>
      <c r="Y11" s="45"/>
      <c r="AX11" s="23" t="s">
        <v>13</v>
      </c>
      <c r="BQ11" s="33"/>
      <c r="CM11" s="23"/>
      <c r="CN11" s="23"/>
      <c r="DR11" s="33"/>
      <c r="DS11" s="33"/>
      <c r="DU11" s="33"/>
      <c r="DV11" s="33"/>
      <c r="DW11" s="33"/>
      <c r="DX11" s="33"/>
      <c r="DY11" s="33"/>
      <c r="EP11" s="23"/>
      <c r="EQ11" s="23"/>
      <c r="EX11" s="78"/>
      <c r="EY11" s="78"/>
      <c r="EZ11" s="78"/>
      <c r="FA11" s="78"/>
      <c r="FB11" s="78"/>
      <c r="FC11" s="78"/>
      <c r="FD11" s="78"/>
      <c r="FE11" s="78"/>
      <c r="FF11" s="78"/>
      <c r="FG11" s="78"/>
      <c r="FH11" s="78"/>
      <c r="FI11" s="78"/>
      <c r="FJ11" s="78"/>
      <c r="FK11" s="78"/>
      <c r="FL11" s="78"/>
      <c r="FM11" s="78"/>
      <c r="FN11" s="78"/>
      <c r="FO11" s="78"/>
      <c r="FP11" s="78"/>
    </row>
    <row r="12" spans="1:172" x14ac:dyDescent="0.25">
      <c r="B12" s="24"/>
      <c r="C12" s="24"/>
      <c r="D12" s="24"/>
      <c r="G12" s="24"/>
      <c r="H12" s="24"/>
      <c r="I12" s="24"/>
      <c r="J12" s="24"/>
      <c r="K12" s="24"/>
      <c r="O12" s="39"/>
      <c r="X12" s="23">
        <f>SUBTOTAL(9,AW:AW)+SUBTOTAL(9,AX:AX)</f>
        <v>0</v>
      </c>
      <c r="AO12" s="23" t="s">
        <v>13</v>
      </c>
      <c r="AY12" s="34"/>
      <c r="BL12" s="47"/>
      <c r="BM12" s="47"/>
      <c r="BN12" s="86" t="s">
        <v>85</v>
      </c>
      <c r="BO12" s="87"/>
      <c r="BP12" s="87"/>
      <c r="BQ12" s="87"/>
      <c r="BR12" s="87"/>
      <c r="BS12" s="87"/>
      <c r="BT12" s="87"/>
      <c r="BU12" s="87"/>
      <c r="BV12" s="87"/>
      <c r="BW12" s="87"/>
      <c r="BX12" s="87"/>
      <c r="BY12" s="87"/>
      <c r="BZ12" s="87"/>
      <c r="CA12" s="87"/>
      <c r="CB12" s="87"/>
      <c r="CC12" s="87"/>
      <c r="CD12" s="88"/>
      <c r="CE12" s="88"/>
      <c r="CF12" s="88"/>
      <c r="CG12" s="88"/>
      <c r="CH12" s="88"/>
      <c r="CI12" s="88"/>
      <c r="CJ12" s="88"/>
      <c r="CK12" s="88"/>
      <c r="CL12" s="88"/>
      <c r="CM12" s="88"/>
      <c r="CN12" s="88"/>
      <c r="CO12" s="89"/>
      <c r="CP12" s="88"/>
      <c r="CQ12" s="88"/>
      <c r="CR12" s="88"/>
      <c r="CS12" s="88"/>
      <c r="CT12" s="87"/>
      <c r="CV12" s="81" t="s">
        <v>84</v>
      </c>
      <c r="CW12" s="82"/>
      <c r="CX12" s="81"/>
      <c r="CY12" s="83"/>
      <c r="CZ12" s="83"/>
      <c r="DA12" s="83"/>
      <c r="DB12" s="83"/>
      <c r="DC12" s="83"/>
      <c r="DD12" s="84"/>
      <c r="DE12" s="84"/>
      <c r="DF12" s="84"/>
      <c r="DG12" s="84"/>
      <c r="DH12" s="83"/>
      <c r="DI12" s="81"/>
      <c r="DJ12" s="85"/>
      <c r="DK12" s="85"/>
      <c r="DL12" s="83"/>
      <c r="DM12" s="83"/>
      <c r="DN12" s="83"/>
      <c r="DO12" s="83"/>
      <c r="DP12" s="83"/>
      <c r="DQ12" s="83"/>
      <c r="DR12" s="83"/>
      <c r="DS12" s="83"/>
      <c r="DT12" s="83"/>
      <c r="DU12" s="83"/>
      <c r="DV12" s="83"/>
      <c r="DW12" s="83"/>
      <c r="DX12" s="83"/>
      <c r="DY12" s="83"/>
      <c r="DZ12" s="83"/>
      <c r="EA12" s="83"/>
      <c r="EB12" s="83"/>
      <c r="EC12" s="83"/>
      <c r="ED12" s="83"/>
      <c r="EE12" s="83"/>
      <c r="EF12" s="83"/>
      <c r="EG12" s="83"/>
      <c r="EH12" s="84"/>
      <c r="EI12" s="84"/>
      <c r="EJ12" s="84"/>
      <c r="EK12" s="84"/>
      <c r="EL12" s="84"/>
      <c r="EM12" s="84"/>
      <c r="EN12" s="84"/>
      <c r="EO12" s="84"/>
      <c r="EP12" s="83"/>
      <c r="EQ12" s="83"/>
      <c r="ER12" s="83"/>
      <c r="ES12" s="83"/>
      <c r="ET12" s="83"/>
      <c r="EU12" s="83"/>
      <c r="EV12" s="83"/>
      <c r="EX12" s="78"/>
      <c r="EY12" s="78"/>
      <c r="EZ12" s="78"/>
      <c r="FA12" s="78"/>
      <c r="FB12" s="78"/>
      <c r="FC12" s="78"/>
      <c r="FD12" s="78"/>
      <c r="FE12" s="78"/>
      <c r="FF12" s="78"/>
      <c r="FG12" s="78"/>
      <c r="FH12" s="78"/>
      <c r="FI12" s="78"/>
      <c r="FJ12" s="78"/>
      <c r="FK12" s="78"/>
      <c r="FL12" s="78"/>
      <c r="FM12" s="78"/>
      <c r="FN12" s="78"/>
      <c r="FO12" s="78"/>
      <c r="FP12" s="78"/>
    </row>
    <row r="13" spans="1:172" ht="26.25" x14ac:dyDescent="0.25">
      <c r="B13" s="24"/>
      <c r="C13" s="24"/>
      <c r="D13" s="24"/>
      <c r="G13" s="24"/>
      <c r="H13" s="24"/>
      <c r="I13" s="24"/>
      <c r="J13" s="24"/>
      <c r="K13" s="24"/>
      <c r="AE13" s="23" t="s">
        <v>13</v>
      </c>
      <c r="AP13" s="30" t="s">
        <v>13</v>
      </c>
      <c r="BL13" s="49"/>
      <c r="BM13" s="47"/>
      <c r="BY13" s="50"/>
      <c r="BZ13" s="50"/>
      <c r="CM13" s="23"/>
      <c r="CN13" s="23"/>
      <c r="CU13" s="80" t="s">
        <v>95</v>
      </c>
      <c r="CV13" s="51"/>
      <c r="CW13" s="52"/>
      <c r="CX13" s="51"/>
      <c r="CY13" s="23"/>
      <c r="CZ13" s="23"/>
      <c r="DA13" s="23"/>
      <c r="DB13" s="23"/>
      <c r="DG13" s="37">
        <f>IF($DC13=0,0,$DD13*($DC13*100%-$DE13*$DF13))*$AB13</f>
        <v>0</v>
      </c>
      <c r="DI13" s="53" cm="1">
        <f t="array" ref="DI13">IFERROR(
IF($ES13="LisChannel",
(ROUND(((INDEX({174.625;153.888888888889;130.972222222222},MATCH($AI13,{2;3;4}),0))*$AG13*$AI13),2)),0),0)</f>
        <v>0</v>
      </c>
      <c r="DJ13" s="53">
        <f xml:space="preserve">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0</v>
      </c>
      <c r="DQ13" s="54" cm="1">
        <f t="array" ref="DQ13">IFERROR(_xlfn.IFS(
$DK13="послед.",1-(1-$DL13)*(1-$DM13)*(1-$DN13)*(1-$DO13)*(1-$DP13),
$DK13="сумм.",$DL13+$DM13+$DN13+$DO13+$DP13),
0)</f>
        <v>0</v>
      </c>
      <c r="DR13" s="37" cm="1">
        <f t="array" ref="DR13" xml:space="preserve">
IF(DQ13&gt;0,
IFERROR(
_xlfn.IFS($BL13=0,
0,
$BL13&gt;0,
_xlfn.IFS(DK13="послед.",
$DJ13*(1-$DL13)*(1-$DM13)*(1-$DN13)*(1-$DO13)*(1-$DP13),
DK13="сумм",
$DJ13*(1-($DL13+$DM13+$DN13+$DO13+$DP13)))),
0),
$DJ13)</f>
        <v>0</v>
      </c>
      <c r="DS13" s="37" cm="1">
        <f t="array" ref="DS13" xml:space="preserve">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0</v>
      </c>
      <c r="DT13" s="37" cm="1">
        <f t="array" ref="DT13" xml:space="preserve">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0</v>
      </c>
      <c r="DU13" s="37" cm="1">
        <f t="array" ref="DU13" xml:space="preserve">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0</v>
      </c>
      <c r="DV13" s="37" cm="1">
        <f t="array" ref="DV13" xml:space="preserve">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0</v>
      </c>
      <c r="DW13" s="37" cm="1">
        <f t="array" ref="DW13" xml:space="preserve">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0</v>
      </c>
      <c r="DX13" s="37" cm="1">
        <f t="array" ref="DX13" xml:space="preserve">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0</v>
      </c>
      <c r="DY13" s="37" cm="1">
        <f t="array" ref="DY13" xml:space="preserve">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0</v>
      </c>
      <c r="DZ13" s="37" cm="1">
        <f t="array" ref="DZ13" xml:space="preserve">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0</v>
      </c>
      <c r="EA13" s="37" cm="1">
        <f t="array" ref="EA13" xml:space="preserve">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0</v>
      </c>
      <c r="EB13" s="37" cm="1">
        <f t="array" ref="EB13" xml:space="preserve">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0</v>
      </c>
      <c r="EC13" s="37" cm="1">
        <f t="array" ref="EC13" xml:space="preserve">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0</v>
      </c>
      <c r="ED13" s="37" cm="1">
        <f t="array" ref="ED13" xml:space="preserve">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0</v>
      </c>
      <c r="EP13" s="23"/>
      <c r="EQ13" s="23"/>
      <c r="EX13" s="78"/>
      <c r="EY13" s="78"/>
    </row>
    <row r="14" spans="1:172" ht="15" customHeight="1" x14ac:dyDescent="0.25">
      <c r="B14" s="25"/>
      <c r="C14" s="25"/>
      <c r="D14" s="25" t="str" cm="1">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t="str" cm="1">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c r="G14" s="25"/>
      <c r="H14" s="55" t="str" cm="1">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n/a</v>
      </c>
      <c r="I14" s="25"/>
      <c r="J14" s="25"/>
      <c r="K14" s="25"/>
      <c r="L14" s="25"/>
      <c r="M14" s="56">
        <f>SUBTOTAL(3,M16:M1048576)</f>
        <v>0</v>
      </c>
      <c r="N14" s="25"/>
      <c r="O14" s="56"/>
      <c r="P14" s="25" t="str">
        <f xml:space="preserve">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c r="R14" s="25" t="str">
        <f xml:space="preserve">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c r="T14" s="44"/>
      <c r="U14" s="25"/>
      <c r="V14" s="25" t="str">
        <f xml:space="preserve">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c r="X14" s="25"/>
      <c r="Y14" s="25"/>
      <c r="Z14" s="56">
        <f>SUBTOTAL(9,Z16:Z1048576)</f>
        <v>0</v>
      </c>
      <c r="AA14" s="56">
        <f>SUBTOTAL(9,AA16:AA1048576)</f>
        <v>0</v>
      </c>
      <c r="AB14" s="57">
        <f>SUBTOTAL(9,AB16:AB1048576)</f>
        <v>0</v>
      </c>
      <c r="AC14" s="25"/>
      <c r="AD14" s="25"/>
      <c r="AE14" s="25"/>
      <c r="AF14" s="25"/>
      <c r="AM14" s="23"/>
      <c r="AP14" s="23"/>
      <c r="AQ14" s="28"/>
      <c r="AS14" s="23"/>
      <c r="AT14" s="23"/>
      <c r="AV14" s="23"/>
      <c r="AW14" s="23" t="s">
        <v>13</v>
      </c>
      <c r="AZ14" s="48"/>
      <c r="BA14" s="48"/>
      <c r="BB14" s="48"/>
      <c r="BC14" s="48"/>
      <c r="BD14" s="48"/>
      <c r="BE14" s="48"/>
      <c r="BF14" s="48"/>
      <c r="BG14" s="48"/>
      <c r="BH14" s="48"/>
      <c r="BI14" s="48"/>
      <c r="BJ14" s="48"/>
      <c r="BK14" s="48"/>
      <c r="BL14" s="47"/>
      <c r="BM14" s="47"/>
      <c r="BN14" s="33">
        <f>SUBTOTAL(9,BN16:BN1048576)</f>
        <v>0</v>
      </c>
      <c r="BP14" s="33">
        <f t="shared" ref="BP14:CI14" si="0">SUBTOTAL(9,BP16:BP1048576)</f>
        <v>0</v>
      </c>
      <c r="BQ14" s="33">
        <f t="shared" si="0"/>
        <v>0</v>
      </c>
      <c r="BR14" s="33">
        <f t="shared" si="0"/>
        <v>0</v>
      </c>
      <c r="BS14" s="33">
        <f t="shared" si="0"/>
        <v>0</v>
      </c>
      <c r="BT14" s="33">
        <f t="shared" si="0"/>
        <v>0</v>
      </c>
      <c r="BU14" s="33">
        <f t="shared" si="0"/>
        <v>0</v>
      </c>
      <c r="BV14" s="33">
        <f t="shared" si="0"/>
        <v>0</v>
      </c>
      <c r="BW14" s="33">
        <f t="shared" si="0"/>
        <v>0</v>
      </c>
      <c r="BX14" s="33">
        <f t="shared" si="0"/>
        <v>0</v>
      </c>
      <c r="BY14" s="33">
        <f t="shared" si="0"/>
        <v>0</v>
      </c>
      <c r="BZ14" s="33">
        <f t="shared" si="0"/>
        <v>0</v>
      </c>
      <c r="CA14" s="33">
        <f t="shared" si="0"/>
        <v>0</v>
      </c>
      <c r="CB14" s="33">
        <f t="shared" si="0"/>
        <v>0</v>
      </c>
      <c r="CC14" s="33">
        <f t="shared" si="0"/>
        <v>0</v>
      </c>
      <c r="CD14" s="33">
        <f t="shared" si="0"/>
        <v>0</v>
      </c>
      <c r="CE14" s="33">
        <f t="shared" si="0"/>
        <v>0</v>
      </c>
      <c r="CF14" s="33">
        <f t="shared" si="0"/>
        <v>0</v>
      </c>
      <c r="CG14" s="33">
        <f t="shared" si="0"/>
        <v>0</v>
      </c>
      <c r="CH14" s="33">
        <f t="shared" si="0"/>
        <v>0</v>
      </c>
      <c r="CI14" s="33">
        <f t="shared" si="0"/>
        <v>0</v>
      </c>
      <c r="CJ14" s="33"/>
      <c r="CK14" s="33">
        <f>SUBTOTAL(9,CK16:CK1048576)</f>
        <v>0</v>
      </c>
      <c r="CL14" s="33">
        <f>SUBTOTAL(9,CL16:CL1048576)</f>
        <v>0</v>
      </c>
      <c r="CM14" s="23"/>
      <c r="CN14" s="23"/>
      <c r="CQ14" s="28" t="str" cm="1">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c r="CW14" s="23"/>
      <c r="CX14" s="28"/>
      <c r="CY14" s="23"/>
      <c r="CZ14" s="23"/>
      <c r="DA14" s="23"/>
      <c r="DB14" s="33">
        <f>SUBTOTAL(9,DB16:DB1048576)</f>
        <v>0</v>
      </c>
      <c r="DC14" s="50"/>
      <c r="DD14" s="33">
        <f>SUBTOTAL(9,DD16:DD1048576)</f>
        <v>0</v>
      </c>
      <c r="DE14" s="33"/>
      <c r="DF14" s="33"/>
      <c r="DG14" s="33">
        <f>SUBTOTAL(9,DG16:DG1048576)</f>
        <v>0</v>
      </c>
      <c r="DI14" s="33">
        <f>SUBTOTAL(9,DI16:DI1048576)</f>
        <v>0</v>
      </c>
      <c r="DJ14" s="33">
        <f>SUBTOTAL(9,DJ16:DJ1048576)</f>
        <v>0</v>
      </c>
      <c r="DR14" s="33">
        <f t="shared" ref="DR14:EF14" si="1">SUBTOTAL(9,DR16:DR1048576)</f>
        <v>0</v>
      </c>
      <c r="DS14" s="33">
        <f t="shared" si="1"/>
        <v>0</v>
      </c>
      <c r="DT14" s="33">
        <f t="shared" si="1"/>
        <v>0</v>
      </c>
      <c r="DU14" s="33">
        <f t="shared" si="1"/>
        <v>0</v>
      </c>
      <c r="DV14" s="33">
        <f t="shared" si="1"/>
        <v>0</v>
      </c>
      <c r="DW14" s="33">
        <f t="shared" si="1"/>
        <v>0</v>
      </c>
      <c r="DX14" s="33">
        <f t="shared" si="1"/>
        <v>0</v>
      </c>
      <c r="DY14" s="33">
        <f t="shared" si="1"/>
        <v>0</v>
      </c>
      <c r="DZ14" s="33">
        <f t="shared" si="1"/>
        <v>0</v>
      </c>
      <c r="EA14" s="33">
        <f t="shared" si="1"/>
        <v>0</v>
      </c>
      <c r="EB14" s="33">
        <f t="shared" si="1"/>
        <v>0</v>
      </c>
      <c r="EC14" s="33">
        <f t="shared" si="1"/>
        <v>0</v>
      </c>
      <c r="ED14" s="33">
        <f t="shared" si="1"/>
        <v>0</v>
      </c>
      <c r="EE14" s="33">
        <f t="shared" si="1"/>
        <v>0</v>
      </c>
      <c r="EF14" s="33">
        <f t="shared" si="1"/>
        <v>0</v>
      </c>
      <c r="EG14" s="50"/>
      <c r="EH14" s="33">
        <f t="shared" ref="EH14:EO14" si="2">SUBTOTAL(9,EH16:EH1048576)</f>
        <v>0</v>
      </c>
      <c r="EI14" s="33">
        <f t="shared" si="2"/>
        <v>0</v>
      </c>
      <c r="EJ14" s="33">
        <f t="shared" si="2"/>
        <v>0</v>
      </c>
      <c r="EK14" s="33">
        <f t="shared" si="2"/>
        <v>0</v>
      </c>
      <c r="EL14" s="33">
        <f t="shared" si="2"/>
        <v>0</v>
      </c>
      <c r="EM14" s="33">
        <f t="shared" si="2"/>
        <v>0</v>
      </c>
      <c r="EN14" s="33">
        <f t="shared" si="2"/>
        <v>0</v>
      </c>
      <c r="EO14" s="33">
        <f t="shared" si="2"/>
        <v>0</v>
      </c>
      <c r="EP14" s="23"/>
      <c r="EQ14" s="23"/>
      <c r="ER14" s="28" t="str" cm="1">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c r="ET14" s="58" t="str" cm="1">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c r="EV14" s="58"/>
      <c r="EX14" s="78"/>
      <c r="EY14" s="78"/>
    </row>
    <row r="15" spans="1:172" s="78" customFormat="1" ht="69.95" customHeight="1" x14ac:dyDescent="0.25">
      <c r="A15" s="2" t="s">
        <v>2</v>
      </c>
      <c r="B15" s="17" t="s">
        <v>104</v>
      </c>
      <c r="C15" s="17" t="s">
        <v>105</v>
      </c>
      <c r="D15" s="2" t="s">
        <v>49</v>
      </c>
      <c r="E15" s="2" t="s">
        <v>27</v>
      </c>
      <c r="F15" s="13" t="s">
        <v>80</v>
      </c>
      <c r="G15" s="2" t="s">
        <v>120</v>
      </c>
      <c r="H15" s="2" t="s">
        <v>81</v>
      </c>
      <c r="I15" s="2" t="s">
        <v>82</v>
      </c>
      <c r="J15" s="2" t="s">
        <v>74</v>
      </c>
      <c r="K15" s="2" t="s">
        <v>73</v>
      </c>
      <c r="L15" s="2" t="s">
        <v>26</v>
      </c>
      <c r="M15" s="2" t="s">
        <v>1</v>
      </c>
      <c r="N15" s="2" t="s">
        <v>115</v>
      </c>
      <c r="O15" s="2" t="s">
        <v>103</v>
      </c>
      <c r="P15" s="1" t="s">
        <v>21</v>
      </c>
      <c r="Q15" s="1" t="s">
        <v>22</v>
      </c>
      <c r="R15" s="1" t="s">
        <v>23</v>
      </c>
      <c r="S15" s="1" t="s">
        <v>156</v>
      </c>
      <c r="T15" s="1" t="s">
        <v>46</v>
      </c>
      <c r="U15" s="1" t="s">
        <v>24</v>
      </c>
      <c r="V15" s="2" t="s">
        <v>17</v>
      </c>
      <c r="W15" s="2" t="s">
        <v>51</v>
      </c>
      <c r="X15" s="2" t="s">
        <v>50</v>
      </c>
      <c r="Y15" s="2" t="s">
        <v>52</v>
      </c>
      <c r="Z15" s="10" t="s">
        <v>159</v>
      </c>
      <c r="AA15" s="10" t="s">
        <v>158</v>
      </c>
      <c r="AB15" s="2" t="s">
        <v>157</v>
      </c>
      <c r="AC15" s="2" t="s">
        <v>18</v>
      </c>
      <c r="AD15" s="2" t="s">
        <v>28</v>
      </c>
      <c r="AE15" s="2" t="s">
        <v>3</v>
      </c>
      <c r="AF15" s="2" t="s">
        <v>83</v>
      </c>
      <c r="AG15" s="2" t="s">
        <v>4</v>
      </c>
      <c r="AH15" s="2" t="s">
        <v>5</v>
      </c>
      <c r="AI15" s="2" t="s">
        <v>6</v>
      </c>
      <c r="AJ15" s="2" t="s">
        <v>7</v>
      </c>
      <c r="AK15" s="2" t="s">
        <v>12</v>
      </c>
      <c r="AL15" s="3" t="s">
        <v>8</v>
      </c>
      <c r="AM15" s="3" t="s">
        <v>9</v>
      </c>
      <c r="AN15" s="2" t="s">
        <v>25</v>
      </c>
      <c r="AO15" s="2" t="s">
        <v>10</v>
      </c>
      <c r="AP15" s="3" t="s">
        <v>11</v>
      </c>
      <c r="AQ15" s="3" t="s">
        <v>47</v>
      </c>
      <c r="AR15" s="10" t="s">
        <v>42</v>
      </c>
      <c r="AS15" s="3" t="s">
        <v>43</v>
      </c>
      <c r="AT15" s="3" t="s">
        <v>44</v>
      </c>
      <c r="AU15" s="11" t="s">
        <v>48</v>
      </c>
      <c r="AV15" s="3" t="s">
        <v>45</v>
      </c>
      <c r="AW15" s="2" t="s">
        <v>53</v>
      </c>
      <c r="AX15" s="2" t="s">
        <v>54</v>
      </c>
      <c r="AY15" s="2" t="s">
        <v>0</v>
      </c>
      <c r="AZ15" s="4">
        <v>45658</v>
      </c>
      <c r="BA15" s="4">
        <v>45689</v>
      </c>
      <c r="BB15" s="4">
        <v>45717</v>
      </c>
      <c r="BC15" s="4">
        <v>45748</v>
      </c>
      <c r="BD15" s="4">
        <v>45778</v>
      </c>
      <c r="BE15" s="4">
        <v>45809</v>
      </c>
      <c r="BF15" s="4">
        <v>45839</v>
      </c>
      <c r="BG15" s="4">
        <v>45870</v>
      </c>
      <c r="BH15" s="4">
        <v>45901</v>
      </c>
      <c r="BI15" s="4">
        <v>45931</v>
      </c>
      <c r="BJ15" s="4">
        <v>45962</v>
      </c>
      <c r="BK15" s="4">
        <v>45992</v>
      </c>
      <c r="BL15" s="5" t="s">
        <v>29</v>
      </c>
      <c r="BM15" s="16" t="s">
        <v>88</v>
      </c>
      <c r="BN15" s="15" t="s">
        <v>121</v>
      </c>
      <c r="BO15" s="1" t="s">
        <v>34</v>
      </c>
      <c r="BP15" s="2" t="s">
        <v>122</v>
      </c>
      <c r="BQ15" s="2" t="s">
        <v>123</v>
      </c>
      <c r="BR15" s="2" t="s">
        <v>124</v>
      </c>
      <c r="BS15" s="2" t="s">
        <v>125</v>
      </c>
      <c r="BT15" s="2" t="s">
        <v>126</v>
      </c>
      <c r="BU15" s="2" t="s">
        <v>127</v>
      </c>
      <c r="BV15" s="2" t="s">
        <v>128</v>
      </c>
      <c r="BW15" s="2" t="s">
        <v>129</v>
      </c>
      <c r="BX15" s="2" t="s">
        <v>130</v>
      </c>
      <c r="BY15" s="2" t="s">
        <v>131</v>
      </c>
      <c r="BZ15" s="2" t="s">
        <v>132</v>
      </c>
      <c r="CA15" s="2" t="s">
        <v>133</v>
      </c>
      <c r="CB15" s="2" t="s">
        <v>134</v>
      </c>
      <c r="CC15" s="2" t="s">
        <v>135</v>
      </c>
      <c r="CD15" s="15" t="s">
        <v>136</v>
      </c>
      <c r="CE15" s="15" t="s">
        <v>137</v>
      </c>
      <c r="CF15" s="15" t="s">
        <v>138</v>
      </c>
      <c r="CG15" s="15" t="s">
        <v>139</v>
      </c>
      <c r="CH15" s="15" t="s">
        <v>140</v>
      </c>
      <c r="CI15" s="15" t="s">
        <v>142</v>
      </c>
      <c r="CJ15" s="15" t="s">
        <v>94</v>
      </c>
      <c r="CK15" s="15" t="s">
        <v>141</v>
      </c>
      <c r="CL15" s="15" t="s">
        <v>143</v>
      </c>
      <c r="CM15" s="2" t="s">
        <v>117</v>
      </c>
      <c r="CN15" s="2" t="s">
        <v>145</v>
      </c>
      <c r="CO15" s="1" t="s">
        <v>16</v>
      </c>
      <c r="CP15" s="9" t="s">
        <v>14</v>
      </c>
      <c r="CQ15" s="1" t="s">
        <v>30</v>
      </c>
      <c r="CR15" s="1" t="s">
        <v>19</v>
      </c>
      <c r="CS15" s="1" t="s">
        <v>20</v>
      </c>
      <c r="CT15" s="1" t="s">
        <v>31</v>
      </c>
      <c r="CU15" s="79" t="s">
        <v>13</v>
      </c>
      <c r="CV15" s="17" t="s">
        <v>89</v>
      </c>
      <c r="CW15" s="22" t="s">
        <v>161</v>
      </c>
      <c r="CX15" s="22" t="s">
        <v>144</v>
      </c>
      <c r="CY15" s="18" t="s">
        <v>90</v>
      </c>
      <c r="CZ15" s="18" t="s">
        <v>91</v>
      </c>
      <c r="DA15" s="18" t="s">
        <v>92</v>
      </c>
      <c r="DB15" s="18" t="s">
        <v>96</v>
      </c>
      <c r="DC15" s="21" t="s">
        <v>108</v>
      </c>
      <c r="DD15" s="20" t="s">
        <v>113</v>
      </c>
      <c r="DE15" s="20" t="s">
        <v>109</v>
      </c>
      <c r="DF15" s="20" t="s">
        <v>114</v>
      </c>
      <c r="DG15" s="20" t="s">
        <v>112</v>
      </c>
      <c r="DH15" s="2" t="s">
        <v>110</v>
      </c>
      <c r="DI15" s="12" t="s">
        <v>116</v>
      </c>
      <c r="DJ15" s="12" t="s">
        <v>111</v>
      </c>
      <c r="DK15" s="1" t="s">
        <v>170</v>
      </c>
      <c r="DL15" s="1" t="s">
        <v>98</v>
      </c>
      <c r="DM15" s="1" t="s">
        <v>99</v>
      </c>
      <c r="DN15" s="1" t="s">
        <v>100</v>
      </c>
      <c r="DO15" s="1" t="s">
        <v>101</v>
      </c>
      <c r="DP15" s="1" t="s">
        <v>102</v>
      </c>
      <c r="DQ15" s="1" t="s">
        <v>97</v>
      </c>
      <c r="DR15" s="2" t="s">
        <v>67</v>
      </c>
      <c r="DS15" s="2" t="s">
        <v>55</v>
      </c>
      <c r="DT15" s="2" t="s">
        <v>56</v>
      </c>
      <c r="DU15" s="2" t="s">
        <v>57</v>
      </c>
      <c r="DV15" s="2" t="s">
        <v>58</v>
      </c>
      <c r="DW15" s="2" t="s">
        <v>59</v>
      </c>
      <c r="DX15" s="2" t="s">
        <v>60</v>
      </c>
      <c r="DY15" s="2" t="s">
        <v>61</v>
      </c>
      <c r="DZ15" s="2" t="s">
        <v>62</v>
      </c>
      <c r="EA15" s="2" t="s">
        <v>63</v>
      </c>
      <c r="EB15" s="2" t="s">
        <v>64</v>
      </c>
      <c r="EC15" s="2" t="s">
        <v>65</v>
      </c>
      <c r="ED15" s="2" t="s">
        <v>66</v>
      </c>
      <c r="EE15" s="13" t="s">
        <v>75</v>
      </c>
      <c r="EF15" s="13" t="s">
        <v>76</v>
      </c>
      <c r="EG15" s="14" t="s">
        <v>79</v>
      </c>
      <c r="EH15" s="12" t="s">
        <v>68</v>
      </c>
      <c r="EI15" s="12" t="s">
        <v>69</v>
      </c>
      <c r="EJ15" s="12" t="s">
        <v>86</v>
      </c>
      <c r="EK15" s="12" t="s">
        <v>70</v>
      </c>
      <c r="EL15" s="12" t="s">
        <v>71</v>
      </c>
      <c r="EM15" s="12" t="s">
        <v>87</v>
      </c>
      <c r="EN15" s="12" t="s">
        <v>77</v>
      </c>
      <c r="EO15" s="12" t="s">
        <v>78</v>
      </c>
      <c r="EP15" s="2" t="s">
        <v>117</v>
      </c>
      <c r="EQ15" s="2" t="s">
        <v>118</v>
      </c>
      <c r="ER15" s="1" t="s">
        <v>32</v>
      </c>
      <c r="ES15" s="1" t="s">
        <v>15</v>
      </c>
      <c r="ET15" s="1" t="s">
        <v>33</v>
      </c>
      <c r="EU15" s="1" t="s">
        <v>72</v>
      </c>
      <c r="EV15" s="1" t="s">
        <v>41</v>
      </c>
    </row>
    <row r="16" spans="1:172" x14ac:dyDescent="0.25">
      <c r="A16" s="59"/>
      <c r="B16" s="60"/>
      <c r="C16" s="60"/>
      <c r="D16" s="60" t="str" cm="1">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t="str" cm="1">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s">
        <v>146</v>
      </c>
      <c r="G16" s="60"/>
      <c r="H16" s="60" t="str" cm="1">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n/a</v>
      </c>
      <c r="I16" s="60"/>
      <c r="J16" s="60"/>
      <c r="K16" s="60"/>
      <c r="L16" s="60"/>
      <c r="M16" s="60"/>
      <c r="N16" s="60"/>
      <c r="O16" s="60"/>
      <c r="P16" s="60" t="str" cm="1">
        <f t="array" ref="P16" xml:space="preserve">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c r="R16" s="60" t="str" cm="1">
        <f t="array" ref="R16" xml:space="preserve">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c r="T16" s="60"/>
      <c r="U16" s="60"/>
      <c r="V16" s="60" t="str">
        <f xml:space="preserve">
IF(P16="Видео",
"цифровой постер/ролик",
IF(ISNUMBER(MATCH(Q16,{"короб световой","короб световой | лайтбокс","короб световой | кристалайт","лайтбокс","лайт бокс","кристалайт","LB","lightbox"},)),
"бэклит",
IF(P16="Брендирование/оклейка",
"перфарированная пленка/самоклейка",
IF(P16="Экспонирование",
"под запрос",
IF(P16="Подвес",
"баннер/ткань",
"")))))</f>
        <v/>
      </c>
      <c r="W16" s="59"/>
      <c r="X16" s="59"/>
      <c r="Y16" s="59"/>
      <c r="Z16" s="61"/>
      <c r="AA16" s="61"/>
      <c r="AB16" s="61">
        <f t="shared" ref="AB16:AB22" si="3">IF(BL16&gt;0,Z16,0)</f>
        <v>0</v>
      </c>
      <c r="AC16" s="59"/>
      <c r="AD16" s="59"/>
      <c r="AE16" s="59"/>
      <c r="AF16" s="59"/>
      <c r="AG16" s="59"/>
      <c r="AH16" s="59"/>
      <c r="AI16" s="59"/>
      <c r="AJ16" s="59"/>
      <c r="AK16" s="59"/>
      <c r="AL16" s="62" t="str">
        <f t="shared" ref="AL16:AL22" si="4">IFERROR(IF(OR(R16="статический",R16="динамический",R16="нестандартный",R16="",R16=""),"-",IF(AND(AH16="-",AI16="-"),"-",AK16*3600/AH16*AI16)),"-")</f>
        <v>-</v>
      </c>
      <c r="AM16" s="62" t="str">
        <f t="shared" ref="AM16:AM22" si="5">IFERROR(IF(OR(R16="статический",R16="динамический",R16="",R16="", R16="BTL",R16="нестандартный"),"-",AG16*AI16*AL16/60),"-")</f>
        <v>-</v>
      </c>
      <c r="AN16" s="63" t="str">
        <f t="shared" ref="AN16:AN22" si="6">IFERROR(IF(AH16="","-",AG16*AI16/AH16),"-")</f>
        <v>-</v>
      </c>
      <c r="AO16" s="59" t="str">
        <f t="shared" ref="AO16:AO27" si="7">IFERROR(IF(OR($R16="статический",$R16="динамический",$R16="",$R16="",$R16="BTL",$R16="нестандартный"),"-",$AL16*$AY16),"-")</f>
        <v>-</v>
      </c>
      <c r="AP16" s="62" t="str">
        <f t="shared" ref="AP16:AP22" si="8">IFERROR(IF(OR($R16="статический",$R16="динамический",$R16="",$R16="",$R16="BTL",$R16="нестандартный"),"-",$AM16*AY16),"-")</f>
        <v>-</v>
      </c>
      <c r="AQ16" s="64"/>
      <c r="AR16" s="61"/>
      <c r="AS16" s="61"/>
      <c r="AT16" s="61"/>
      <c r="AU16" s="65"/>
      <c r="AV16" s="66" t="str">
        <f t="shared" ref="AV16:AV22" si="9">IFERROR(DR16/AT16*1000,"n/a")</f>
        <v>n/a</v>
      </c>
      <c r="AW16" s="67"/>
      <c r="AX16" s="67"/>
      <c r="AY16" s="43" t="str">
        <f t="shared" ref="AY16:AY27" si="10">IFERROR(IF(OR($AW16="",$AX16=""),"",_xlfn.DAYS($AX16+1,$AW16)),"")</f>
        <v/>
      </c>
      <c r="AZ16" s="68" cm="1">
        <f t="array" ref="AZ16" xml:space="preserve">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0</v>
      </c>
      <c r="BA16" s="68" cm="1">
        <f t="array" ref="BA16" xml:space="preserve">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0</v>
      </c>
      <c r="BB16" s="68" cm="1">
        <f t="array" ref="BB16" xml:space="preserve">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0</v>
      </c>
      <c r="BC16" s="68" cm="1">
        <f t="array" ref="BC16" xml:space="preserve">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0</v>
      </c>
      <c r="BD16" s="68" cm="1">
        <f t="array" ref="BD16" xml:space="preserve">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0</v>
      </c>
      <c r="BE16" s="68" cm="1">
        <f t="array" ref="BE16" xml:space="preserve">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0</v>
      </c>
      <c r="BF16" s="68" cm="1">
        <f t="array" ref="BF16" xml:space="preserve">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0</v>
      </c>
      <c r="BG16" s="68" cm="1">
        <f t="array" ref="BG16" xml:space="preserve">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0</v>
      </c>
      <c r="BH16" s="68" cm="1">
        <f t="array" ref="BH16" xml:space="preserve">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0</v>
      </c>
      <c r="BI16" s="68" cm="1">
        <f t="array" ref="BI16" xml:space="preserve">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0</v>
      </c>
      <c r="BJ16" s="68" cm="1">
        <f t="array" ref="BJ16" xml:space="preserve">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0</v>
      </c>
      <c r="BK16" s="68" cm="1">
        <f t="array" ref="BK16" xml:space="preserve">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0</v>
      </c>
      <c r="BL16" s="62">
        <f t="shared" ref="BL16:BL26" si="11">COUNTIFS($AZ16:$BK16,"&gt;0")</f>
        <v>0</v>
      </c>
      <c r="BM16" s="65"/>
      <c r="BN16" s="69">
        <f t="shared" ref="BN16:BN27" si="12">$DJ16</f>
        <v>0</v>
      </c>
      <c r="BO16" s="63">
        <f t="shared" ref="BO16:BO27" si="13">$DQ16</f>
        <v>0</v>
      </c>
      <c r="BP16" s="69">
        <f t="shared" ref="BP16:BP27" si="14" xml:space="preserve">
IFERROR(
IF($BL16=0,0,
$BN16*(1-$BO16)),
0)</f>
        <v>0</v>
      </c>
      <c r="BQ16" s="69" cm="1">
        <f t="array" ref="BQ16" xml:space="preserve">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0</v>
      </c>
      <c r="BR16" s="69" cm="1">
        <f t="array" ref="BR16" xml:space="preserve">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0</v>
      </c>
      <c r="BS16" s="69" cm="1">
        <f t="array" ref="BS16" xml:space="preserve">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0</v>
      </c>
      <c r="BT16" s="69" cm="1">
        <f t="array" ref="BT16" xml:space="preserve">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0</v>
      </c>
      <c r="BU16" s="69" cm="1">
        <f t="array" ref="BU16" xml:space="preserve">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0</v>
      </c>
      <c r="BV16" s="69" cm="1">
        <f t="array" ref="BV16" xml:space="preserve">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0</v>
      </c>
      <c r="BW16" s="69" cm="1">
        <f t="array" ref="BW16" xml:space="preserve">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0</v>
      </c>
      <c r="BX16" s="69" cm="1">
        <f t="array" ref="BX16" xml:space="preserve">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0</v>
      </c>
      <c r="BY16" s="69" cm="1">
        <f t="array" ref="BY16" xml:space="preserve">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0</v>
      </c>
      <c r="BZ16" s="69" cm="1">
        <f t="array" ref="BZ16" xml:space="preserve">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0</v>
      </c>
      <c r="CA16" s="69" cm="1">
        <f t="array" ref="CA16" xml:space="preserve">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0</v>
      </c>
      <c r="CB16" s="69" cm="1">
        <f t="array" ref="CB16" xml:space="preserve">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0</v>
      </c>
      <c r="CC16" s="69">
        <f t="shared" ref="CC16:CC27" si="15">SUM($BQ16:$CB16)</f>
        <v>0</v>
      </c>
      <c r="CD16" s="70">
        <f t="shared" ref="CD16:CD27" si="16">SUM($EH16:$EH16)</f>
        <v>0</v>
      </c>
      <c r="CE16" s="70">
        <f t="shared" ref="CE16:CE27" si="17">$CD16*$AB16</f>
        <v>0</v>
      </c>
      <c r="CF16" s="70">
        <f t="shared" ref="CF16:CF27" si="18">SUM($EK16:$EK16)</f>
        <v>0</v>
      </c>
      <c r="CG16" s="70">
        <f t="shared" ref="CG16:CG27" si="19">$CF16*$AB16</f>
        <v>0</v>
      </c>
      <c r="CH16" s="70">
        <f>SUM($CC16,$CE16,$CG16)</f>
        <v>0</v>
      </c>
      <c r="CI16" s="70">
        <f t="shared" ref="CI16:CI27" si="20">$CH16*(1+$CM16)</f>
        <v>0</v>
      </c>
      <c r="CJ16" s="71">
        <v>0</v>
      </c>
      <c r="CK16" s="70">
        <f t="shared" ref="CK16:CK27" si="21">SUM($CH16:$CH16)*(1+$CJ16)</f>
        <v>0</v>
      </c>
      <c r="CL16" s="70">
        <f t="shared" ref="CL16:CL27" si="22">SUM($CH16:$CH16)*(1+$CM16)</f>
        <v>0</v>
      </c>
      <c r="CM16" s="108"/>
      <c r="CN16" s="59"/>
      <c r="CO16" s="72"/>
      <c r="CP16" s="59"/>
      <c r="CQ16" s="73"/>
      <c r="CR16" s="73"/>
      <c r="CS16" s="73"/>
      <c r="CT16" s="72"/>
      <c r="CU16" s="79" t="s">
        <v>13</v>
      </c>
      <c r="CV16" s="60"/>
      <c r="CW16" s="103"/>
      <c r="CX16" s="60"/>
      <c r="CY16" s="71">
        <f t="shared" ref="CY16:CY27" si="23">IFERROR(($CC16-$EE16)/($EE16/(1-$DQ16)),0)</f>
        <v>0</v>
      </c>
      <c r="CZ16" s="71">
        <f t="shared" ref="CZ16:CZ27" si="24">IFERROR(1-$EI16/($CE16),0)</f>
        <v>0</v>
      </c>
      <c r="DA16" s="71">
        <f t="shared" ref="DA16:DA27" si="25">IFERROR(1-$EL16/($CG16),0)</f>
        <v>0</v>
      </c>
      <c r="DB16" s="70">
        <f t="shared" ref="DB16:DB27" si="26">ROUND(IFERROR(($CI16/(1+$CM16)-$EN16),0),2)</f>
        <v>0</v>
      </c>
      <c r="DC16" s="74"/>
      <c r="DD16" s="69"/>
      <c r="DE16" s="75">
        <v>0</v>
      </c>
      <c r="DF16" s="74"/>
      <c r="DG16" s="69">
        <f t="shared" ref="DG16:DG27" si="27">IF($DC16=0,0,$DD16*($DC16*100%-$DE16*$DF16))*SUM($AB16:$AB16)</f>
        <v>0</v>
      </c>
      <c r="DH16" s="76" t="s">
        <v>119</v>
      </c>
      <c r="DI16" s="77" cm="1">
        <f t="array" ref="DI16">IFERROR(
IF($ES16="LisChannel",
(ROUND(((INDEX({174.625;153.888888888889;130.972222222222},MATCH($AI16,{2;3;4}),0))*$AG16*$AI16),2)),0),0)</f>
        <v>0</v>
      </c>
      <c r="DJ16" s="77">
        <f t="shared" ref="DJ16" si="28" xml:space="preserve">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0</v>
      </c>
      <c r="DK16" s="69" t="s">
        <v>93</v>
      </c>
      <c r="DL16" s="63">
        <v>0</v>
      </c>
      <c r="DM16" s="63">
        <v>0</v>
      </c>
      <c r="DN16" s="63">
        <v>0</v>
      </c>
      <c r="DO16" s="63">
        <v>0</v>
      </c>
      <c r="DP16" s="63">
        <v>0</v>
      </c>
      <c r="DQ16" s="63" cm="1">
        <f t="array" ref="DQ16">IFERROR(_xlfn.IFS(
$DK16="послед.",1-(1-$DL16)*(1-$DM16)*(1-$DN16)*(1-$DO16)*(1-$DP16),
$DK16="сумм.",$DL16+$DM16+$DN16+$DO16+$DP16),
0)</f>
        <v>0</v>
      </c>
      <c r="DR16" s="69" cm="1">
        <f t="array" ref="DR16" xml:space="preserve">
IFERROR(
_xlfn.IFS(
$BL16=0,
0,
$BL16&gt;0,
_xlfn.IFS($DK16="послед.",
$DJ16*(1-$DL16)*(1-$DM16)*(1-$DN16)*(1-$DO16)*(1-$DP16),
$DK16="сумм.",
$DJ16*(1-($DL16+$DM16+$DN16+$DO16+$DP16)))),0)</f>
        <v>0</v>
      </c>
      <c r="DS16" s="69" cm="1">
        <f t="array" ref="DS16" xml:space="preserve">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0</v>
      </c>
      <c r="DT16" s="69" cm="1">
        <f t="array" ref="DT16" xml:space="preserve">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0</v>
      </c>
      <c r="DU16" s="69" cm="1">
        <f t="array" ref="DU16" xml:space="preserve">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0</v>
      </c>
      <c r="DV16" s="69" cm="1">
        <f t="array" ref="DV16" xml:space="preserve">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0</v>
      </c>
      <c r="DW16" s="69" cm="1">
        <f t="array" ref="DW16" xml:space="preserve">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0</v>
      </c>
      <c r="DX16" s="69" cm="1">
        <f t="array" ref="DX16" xml:space="preserve">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0</v>
      </c>
      <c r="DY16" s="69" cm="1">
        <f t="array" ref="DY16" xml:space="preserve">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0</v>
      </c>
      <c r="DZ16" s="69" cm="1">
        <f t="array" ref="DZ16" xml:space="preserve">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0</v>
      </c>
      <c r="EA16" s="69" cm="1">
        <f t="array" ref="EA16" xml:space="preserve">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0</v>
      </c>
      <c r="EB16" s="69" cm="1">
        <f t="array" ref="EB16" xml:space="preserve">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0</v>
      </c>
      <c r="EC16" s="69" cm="1">
        <f t="array" ref="EC16" xml:space="preserve">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0</v>
      </c>
      <c r="ED16" s="69" cm="1">
        <f t="array" ref="ED16" xml:space="preserve">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0</v>
      </c>
      <c r="EE16" s="69">
        <f>SUM($DS16,$DT16,$DU16,$DV16,$DW16,$DX16,$DY16,$DZ16,$EA16,$EB16,$EC16,$ED16)</f>
        <v>0</v>
      </c>
      <c r="EF16" s="69">
        <f t="shared" ref="EF16:EF27" si="29">IFERROR(ROUND($EE16*(1+$EP16),2),0)</f>
        <v>0</v>
      </c>
      <c r="EG16" s="74">
        <v>1</v>
      </c>
      <c r="EH16" s="70">
        <v>0</v>
      </c>
      <c r="EI16" s="70">
        <f>IFERROR(ROUND(SUM($EH16:$EH16)*SUM($AB16:$AB16)*$EG16,2),0)</f>
        <v>0</v>
      </c>
      <c r="EJ16" s="70">
        <f>ROUND($EI16*(1+$EP16),2)</f>
        <v>0</v>
      </c>
      <c r="EK16" s="70">
        <v>0</v>
      </c>
      <c r="EL16" s="70">
        <f>IFERROR(ROUND(SUM($EK16:$EK16)*SUM($AB16:$AB16)*$EG16,2),0)</f>
        <v>0</v>
      </c>
      <c r="EM16" s="70">
        <f>ROUND($EL16*(1+$EP16),2)</f>
        <v>0</v>
      </c>
      <c r="EN16" s="70">
        <f>SUM($EE16,$EI16,$EL16)</f>
        <v>0</v>
      </c>
      <c r="EO16" s="70">
        <f>SUM($EF16,$EJ16,$EM16)</f>
        <v>0</v>
      </c>
      <c r="EP16" s="108"/>
      <c r="EQ16" s="59"/>
      <c r="ER16" s="60" t="str" cm="1">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c r="ET16" s="60" t="str" cm="1">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c r="EV16" s="60"/>
      <c r="EW16" t="s">
        <v>13</v>
      </c>
    </row>
    <row r="17" spans="1:153" x14ac:dyDescent="0.25">
      <c r="A17" s="59"/>
      <c r="B17" s="60"/>
      <c r="C17" s="60"/>
      <c r="D17" s="60" t="str" cm="1">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t="str" cm="1">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s">
        <v>146</v>
      </c>
      <c r="G17" s="60"/>
      <c r="H17" s="60" t="str" cm="1">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n/a</v>
      </c>
      <c r="I17" s="60"/>
      <c r="J17" s="60"/>
      <c r="K17" s="60"/>
      <c r="L17" s="60"/>
      <c r="M17" s="60"/>
      <c r="N17" s="60"/>
      <c r="O17" s="60"/>
      <c r="P17" s="60" t="str" cm="1">
        <f t="array" ref="P17" xml:space="preserve">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c r="R17" s="60" t="str" cm="1">
        <f t="array" ref="R17" xml:space="preserve">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c r="T17" s="60"/>
      <c r="U17" s="60"/>
      <c r="V17" s="60" t="str">
        <f xml:space="preserve">
IF(P17="Видео",
"цифровой постер/ролик",
IF(ISNUMBER(MATCH(Q17,{"короб световой","короб световой | лайтбокс","короб световой | кристалайт","лайтбокс","лайт бокс","кристалайт","LB","lightbox"},)),
"бэклит",
IF(P17="Брендирование/оклейка",
"перфарированная пленка/самоклейка",
IF(P17="Экспонирование",
"под запрос",
IF(P17="Подвес",
"баннер/ткань",
"")))))</f>
        <v/>
      </c>
      <c r="W17" s="59"/>
      <c r="X17" s="59"/>
      <c r="Y17" s="59"/>
      <c r="Z17" s="61"/>
      <c r="AA17" s="61"/>
      <c r="AB17" s="61">
        <f t="shared" si="3"/>
        <v>0</v>
      </c>
      <c r="AC17" s="59"/>
      <c r="AD17" s="59"/>
      <c r="AE17" s="59"/>
      <c r="AF17" s="59"/>
      <c r="AG17" s="59"/>
      <c r="AH17" s="59"/>
      <c r="AI17" s="59"/>
      <c r="AJ17" s="59"/>
      <c r="AK17" s="59"/>
      <c r="AL17" s="62" t="str">
        <f t="shared" si="4"/>
        <v>-</v>
      </c>
      <c r="AM17" s="62" t="str">
        <f t="shared" si="5"/>
        <v>-</v>
      </c>
      <c r="AN17" s="63" t="str">
        <f t="shared" si="6"/>
        <v>-</v>
      </c>
      <c r="AO17" s="59" t="str">
        <f t="shared" si="7"/>
        <v>-</v>
      </c>
      <c r="AP17" s="62" t="str">
        <f t="shared" si="8"/>
        <v>-</v>
      </c>
      <c r="AQ17" s="64"/>
      <c r="AR17" s="61"/>
      <c r="AS17" s="61"/>
      <c r="AT17" s="61"/>
      <c r="AU17" s="65"/>
      <c r="AV17" s="66" t="str">
        <f t="shared" si="9"/>
        <v>n/a</v>
      </c>
      <c r="AW17" s="67"/>
      <c r="AX17" s="67"/>
      <c r="AY17" s="43" t="str">
        <f t="shared" si="10"/>
        <v/>
      </c>
      <c r="AZ17" s="68" cm="1">
        <f t="array" ref="AZ17" xml:space="preserve">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0</v>
      </c>
      <c r="BA17" s="68" cm="1">
        <f t="array" ref="BA17" xml:space="preserve">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0</v>
      </c>
      <c r="BB17" s="68" cm="1">
        <f t="array" ref="BB17" xml:space="preserve">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0</v>
      </c>
      <c r="BC17" s="68" cm="1">
        <f t="array" ref="BC17" xml:space="preserve">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0</v>
      </c>
      <c r="BD17" s="68" cm="1">
        <f t="array" ref="BD17" xml:space="preserve">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0</v>
      </c>
      <c r="BE17" s="68" cm="1">
        <f t="array" ref="BE17" xml:space="preserve">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0</v>
      </c>
      <c r="BF17" s="68" cm="1">
        <f t="array" ref="BF17" xml:space="preserve">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0</v>
      </c>
      <c r="BG17" s="68" cm="1">
        <f t="array" ref="BG17" xml:space="preserve">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0</v>
      </c>
      <c r="BH17" s="68" cm="1">
        <f t="array" ref="BH17" xml:space="preserve">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0</v>
      </c>
      <c r="BI17" s="68" cm="1">
        <f t="array" ref="BI17" xml:space="preserve">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0</v>
      </c>
      <c r="BJ17" s="68" cm="1">
        <f t="array" ref="BJ17" xml:space="preserve">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0</v>
      </c>
      <c r="BK17" s="68" cm="1">
        <f t="array" ref="BK17" xml:space="preserve">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0</v>
      </c>
      <c r="BL17" s="62">
        <f t="shared" si="11"/>
        <v>0</v>
      </c>
      <c r="BM17" s="65"/>
      <c r="BN17" s="69">
        <f t="shared" si="12"/>
        <v>0</v>
      </c>
      <c r="BO17" s="63">
        <f t="shared" si="13"/>
        <v>0</v>
      </c>
      <c r="BP17" s="69">
        <f t="shared" si="14"/>
        <v>0</v>
      </c>
      <c r="BQ17" s="69" cm="1">
        <f t="array" ref="BQ17" xml:space="preserve">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0</v>
      </c>
      <c r="BR17" s="69" cm="1">
        <f t="array" ref="BR17" xml:space="preserve">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0</v>
      </c>
      <c r="BS17" s="69" cm="1">
        <f t="array" ref="BS17" xml:space="preserve">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0</v>
      </c>
      <c r="BT17" s="69" cm="1">
        <f t="array" ref="BT17" xml:space="preserve">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0</v>
      </c>
      <c r="BU17" s="69" cm="1">
        <f t="array" ref="BU17" xml:space="preserve">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0</v>
      </c>
      <c r="BV17" s="69" cm="1">
        <f t="array" ref="BV17" xml:space="preserve">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0</v>
      </c>
      <c r="BW17" s="69" cm="1">
        <f t="array" ref="BW17" xml:space="preserve">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0</v>
      </c>
      <c r="BX17" s="69" cm="1">
        <f t="array" ref="BX17" xml:space="preserve">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0</v>
      </c>
      <c r="BY17" s="69" cm="1">
        <f t="array" ref="BY17" xml:space="preserve">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0</v>
      </c>
      <c r="BZ17" s="69" cm="1">
        <f t="array" ref="BZ17" xml:space="preserve">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0</v>
      </c>
      <c r="CA17" s="69" cm="1">
        <f t="array" ref="CA17" xml:space="preserve">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0</v>
      </c>
      <c r="CB17" s="69" cm="1">
        <f t="array" ref="CB17" xml:space="preserve">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0</v>
      </c>
      <c r="CC17" s="69">
        <f t="shared" si="15"/>
        <v>0</v>
      </c>
      <c r="CD17" s="70">
        <f t="shared" si="16"/>
        <v>0</v>
      </c>
      <c r="CE17" s="70">
        <f t="shared" si="17"/>
        <v>0</v>
      </c>
      <c r="CF17" s="70">
        <f t="shared" si="18"/>
        <v>0</v>
      </c>
      <c r="CG17" s="70">
        <f t="shared" si="19"/>
        <v>0</v>
      </c>
      <c r="CH17" s="70">
        <f t="shared" ref="CH17:CH27" si="30">SUM($CC17,$CE17,$CG17)</f>
        <v>0</v>
      </c>
      <c r="CI17" s="70">
        <f t="shared" si="20"/>
        <v>0</v>
      </c>
      <c r="CJ17" s="71">
        <v>0</v>
      </c>
      <c r="CK17" s="70">
        <f t="shared" si="21"/>
        <v>0</v>
      </c>
      <c r="CL17" s="70">
        <f t="shared" si="22"/>
        <v>0</v>
      </c>
      <c r="CM17" s="59"/>
      <c r="CN17" s="59"/>
      <c r="CO17" s="72"/>
      <c r="CP17" s="59"/>
      <c r="CQ17" s="73"/>
      <c r="CR17" s="73"/>
      <c r="CS17" s="73"/>
      <c r="CT17" s="72"/>
      <c r="CU17" s="79" t="s">
        <v>13</v>
      </c>
      <c r="CV17" s="60"/>
      <c r="CW17" s="60"/>
      <c r="CX17" s="60"/>
      <c r="CY17" s="71">
        <f t="shared" si="23"/>
        <v>0</v>
      </c>
      <c r="CZ17" s="71">
        <f t="shared" si="24"/>
        <v>0</v>
      </c>
      <c r="DA17" s="71">
        <f t="shared" si="25"/>
        <v>0</v>
      </c>
      <c r="DB17" s="70">
        <f t="shared" si="26"/>
        <v>0</v>
      </c>
      <c r="DC17" s="74"/>
      <c r="DD17" s="69"/>
      <c r="DE17" s="75">
        <v>0</v>
      </c>
      <c r="DF17" s="74"/>
      <c r="DG17" s="69">
        <f t="shared" si="27"/>
        <v>0</v>
      </c>
      <c r="DH17" s="76" t="s">
        <v>119</v>
      </c>
      <c r="DI17" s="77" cm="1">
        <f t="array" ref="DI17">IFERROR(
IF($ES17="LisChannel",
(ROUND(((INDEX({174.625;153.888888888889;130.972222222222},MATCH($AI17,{2;3;4}),0))*$AG17*$AI17),2)),0),0)</f>
        <v>0</v>
      </c>
      <c r="DJ17" s="77">
        <f t="shared" ref="DJ17:DJ27" si="31" xml:space="preserve">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0</v>
      </c>
      <c r="DK17" s="69" t="s">
        <v>93</v>
      </c>
      <c r="DL17" s="63">
        <v>0</v>
      </c>
      <c r="DM17" s="63">
        <v>0</v>
      </c>
      <c r="DN17" s="63">
        <v>0</v>
      </c>
      <c r="DO17" s="63">
        <v>0</v>
      </c>
      <c r="DP17" s="63">
        <v>0</v>
      </c>
      <c r="DQ17" s="63" cm="1">
        <f t="array" ref="DQ17">IFERROR(_xlfn.IFS(
$DK17="послед.",1-(1-$DL17)*(1-$DM17)*(1-$DN17)*(1-$DO17)*(1-$DP17),
$DK17="сумм.",$DL17+$DM17+$DN17+$DO17+$DP17),
0)</f>
        <v>0</v>
      </c>
      <c r="DR17" s="69" cm="1">
        <f t="array" ref="DR17" xml:space="preserve">
IFERROR(
_xlfn.IFS(
$BL17=0,
0,
$BL17&gt;0,
_xlfn.IFS($DK17="послед.",
$DJ17*(1-$DL17)*(1-$DM17)*(1-$DN17)*(1-$DO17)*(1-$DP17),
$DK17="сумм.",
$DJ17*(1-($DL17+$DM17+$DN17+$DO17+$DP17)))),0)</f>
        <v>0</v>
      </c>
      <c r="DS17" s="69" cm="1">
        <f t="array" ref="DS17" xml:space="preserve">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0</v>
      </c>
      <c r="DT17" s="69" cm="1">
        <f t="array" ref="DT17" xml:space="preserve">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0</v>
      </c>
      <c r="DU17" s="69" cm="1">
        <f t="array" ref="DU17" xml:space="preserve">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0</v>
      </c>
      <c r="DV17" s="69" cm="1">
        <f t="array" ref="DV17" xml:space="preserve">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0</v>
      </c>
      <c r="DW17" s="69" cm="1">
        <f t="array" ref="DW17" xml:space="preserve">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0</v>
      </c>
      <c r="DX17" s="69" cm="1">
        <f t="array" ref="DX17" xml:space="preserve">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0</v>
      </c>
      <c r="DY17" s="69" cm="1">
        <f t="array" ref="DY17" xml:space="preserve">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0</v>
      </c>
      <c r="DZ17" s="69" cm="1">
        <f t="array" ref="DZ17" xml:space="preserve">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0</v>
      </c>
      <c r="EA17" s="69" cm="1">
        <f t="array" ref="EA17" xml:space="preserve">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0</v>
      </c>
      <c r="EB17" s="69" cm="1">
        <f t="array" ref="EB17" xml:space="preserve">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0</v>
      </c>
      <c r="EC17" s="69" cm="1">
        <f t="array" ref="EC17" xml:space="preserve">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0</v>
      </c>
      <c r="ED17" s="69" cm="1">
        <f t="array" ref="ED17" xml:space="preserve">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0</v>
      </c>
      <c r="EE17" s="69">
        <f t="shared" ref="EE17:EE27" si="32">SUM($DS17,$DT17,$DU17,$DV17,$DW17,$DX17,$DY17,$DZ17,$EA17,$EB17,$EC17,$ED17)</f>
        <v>0</v>
      </c>
      <c r="EF17" s="69">
        <f t="shared" si="29"/>
        <v>0</v>
      </c>
      <c r="EG17" s="74">
        <v>1</v>
      </c>
      <c r="EH17" s="70">
        <v>0</v>
      </c>
      <c r="EI17" s="70">
        <f t="shared" ref="EI17:EI27" si="33">ROUND(SUM($EH17:$EH17)*SUM($AB17:$AB17)*$EG17,2)</f>
        <v>0</v>
      </c>
      <c r="EJ17" s="70">
        <f t="shared" ref="EJ17:EJ27" si="34">ROUND($EI17*(1+$EP17),2)</f>
        <v>0</v>
      </c>
      <c r="EK17" s="70">
        <v>0</v>
      </c>
      <c r="EL17" s="70">
        <f t="shared" ref="EL17:EL27" si="35">ROUND(SUM($EK17:$EK17)*SUM($AB17:$AB17)*$EG17,2)</f>
        <v>0</v>
      </c>
      <c r="EM17" s="70">
        <f t="shared" ref="EM17:EM27" si="36">ROUND($EL17*(1+$EP17),2)</f>
        <v>0</v>
      </c>
      <c r="EN17" s="70">
        <f t="shared" ref="EN17:EN27" si="37">SUM($EE17,$EI17,$EL17)</f>
        <v>0</v>
      </c>
      <c r="EO17" s="70">
        <f t="shared" ref="EO17:EO27" si="38">SUM($EF17,$EJ17,$EM17)</f>
        <v>0</v>
      </c>
      <c r="EP17" s="59"/>
      <c r="EQ17" s="59"/>
      <c r="ER17" s="60" t="str" cm="1">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c r="ET17" s="60" t="str" cm="1">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c r="EV17" s="60"/>
      <c r="EW17" t="s">
        <v>13</v>
      </c>
    </row>
    <row r="18" spans="1:153" x14ac:dyDescent="0.25">
      <c r="A18" s="59"/>
      <c r="B18" s="60"/>
      <c r="C18" s="60"/>
      <c r="D18" s="60" t="str" cm="1">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t="str" cm="1">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s">
        <v>146</v>
      </c>
      <c r="G18" s="60"/>
      <c r="H18" s="60" t="str" cm="1">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n/a</v>
      </c>
      <c r="I18" s="60"/>
      <c r="J18" s="60"/>
      <c r="K18" s="60"/>
      <c r="L18" s="60"/>
      <c r="M18" s="60"/>
      <c r="N18" s="60"/>
      <c r="O18" s="60"/>
      <c r="P18" s="60" t="str" cm="1">
        <f t="array" ref="P18" xml:space="preserve">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c r="R18" s="60" t="str" cm="1">
        <f t="array" ref="R18" xml:space="preserve">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c r="T18" s="60"/>
      <c r="U18" s="60"/>
      <c r="V18" s="60" t="str">
        <f xml:space="preserve">
IF(P18="Видео",
"цифровой постер/ролик",
IF(ISNUMBER(MATCH(Q18,{"короб световой","короб световой | лайтбокс","короб световой | кристалайт","лайтбокс","лайт бокс","кристалайт","LB","lightbox"},)),
"бэклит",
IF(P18="Брендирование/оклейка",
"перфарированная пленка/самоклейка",
IF(P18="Экспонирование",
"под запрос",
IF(P18="Подвес",
"баннер/ткань",
"")))))</f>
        <v/>
      </c>
      <c r="W18" s="59"/>
      <c r="X18" s="59"/>
      <c r="Y18" s="59"/>
      <c r="Z18" s="61"/>
      <c r="AA18" s="61"/>
      <c r="AB18" s="61">
        <f t="shared" si="3"/>
        <v>0</v>
      </c>
      <c r="AC18" s="59"/>
      <c r="AD18" s="59"/>
      <c r="AE18" s="59"/>
      <c r="AF18" s="59"/>
      <c r="AG18" s="59"/>
      <c r="AH18" s="59"/>
      <c r="AI18" s="59"/>
      <c r="AJ18" s="59"/>
      <c r="AK18" s="59"/>
      <c r="AL18" s="62" t="str">
        <f t="shared" si="4"/>
        <v>-</v>
      </c>
      <c r="AM18" s="62" t="str">
        <f t="shared" si="5"/>
        <v>-</v>
      </c>
      <c r="AN18" s="63" t="str">
        <f t="shared" si="6"/>
        <v>-</v>
      </c>
      <c r="AO18" s="59" t="str">
        <f t="shared" si="7"/>
        <v>-</v>
      </c>
      <c r="AP18" s="62" t="str">
        <f t="shared" si="8"/>
        <v>-</v>
      </c>
      <c r="AQ18" s="64"/>
      <c r="AR18" s="61"/>
      <c r="AS18" s="61"/>
      <c r="AT18" s="61"/>
      <c r="AU18" s="65"/>
      <c r="AV18" s="66" t="str">
        <f t="shared" si="9"/>
        <v>n/a</v>
      </c>
      <c r="AW18" s="67"/>
      <c r="AX18" s="67"/>
      <c r="AY18" s="43" t="str">
        <f t="shared" si="10"/>
        <v/>
      </c>
      <c r="AZ18" s="68" cm="1">
        <f t="array" ref="AZ18" xml:space="preserve">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0</v>
      </c>
      <c r="BA18" s="68" cm="1">
        <f t="array" ref="BA18" xml:space="preserve">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0</v>
      </c>
      <c r="BB18" s="68" cm="1">
        <f t="array" ref="BB18" xml:space="preserve">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0</v>
      </c>
      <c r="BC18" s="68" cm="1">
        <f t="array" ref="BC18" xml:space="preserve">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0</v>
      </c>
      <c r="BD18" s="68" cm="1">
        <f t="array" ref="BD18" xml:space="preserve">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0</v>
      </c>
      <c r="BE18" s="68" cm="1">
        <f t="array" ref="BE18" xml:space="preserve">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0</v>
      </c>
      <c r="BF18" s="68" cm="1">
        <f t="array" ref="BF18" xml:space="preserve">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0</v>
      </c>
      <c r="BG18" s="68" cm="1">
        <f t="array" ref="BG18" xml:space="preserve">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0</v>
      </c>
      <c r="BH18" s="68" cm="1">
        <f t="array" ref="BH18" xml:space="preserve">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0</v>
      </c>
      <c r="BI18" s="68" cm="1">
        <f t="array" ref="BI18" xml:space="preserve">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0</v>
      </c>
      <c r="BJ18" s="68" cm="1">
        <f t="array" ref="BJ18" xml:space="preserve">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0</v>
      </c>
      <c r="BK18" s="68" cm="1">
        <f t="array" ref="BK18" xml:space="preserve">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0</v>
      </c>
      <c r="BL18" s="62">
        <f t="shared" si="11"/>
        <v>0</v>
      </c>
      <c r="BM18" s="65"/>
      <c r="BN18" s="69">
        <f t="shared" si="12"/>
        <v>0</v>
      </c>
      <c r="BO18" s="63">
        <f t="shared" si="13"/>
        <v>0</v>
      </c>
      <c r="BP18" s="69">
        <f t="shared" si="14"/>
        <v>0</v>
      </c>
      <c r="BQ18" s="69" cm="1">
        <f t="array" ref="BQ18" xml:space="preserve">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0</v>
      </c>
      <c r="BR18" s="69" cm="1">
        <f t="array" ref="BR18" xml:space="preserve">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0</v>
      </c>
      <c r="BS18" s="69" cm="1">
        <f t="array" ref="BS18" xml:space="preserve">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0</v>
      </c>
      <c r="BT18" s="69" cm="1">
        <f t="array" ref="BT18" xml:space="preserve">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0</v>
      </c>
      <c r="BU18" s="69" cm="1">
        <f t="array" ref="BU18" xml:space="preserve">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0</v>
      </c>
      <c r="BV18" s="69" cm="1">
        <f t="array" ref="BV18" xml:space="preserve">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0</v>
      </c>
      <c r="BW18" s="69" cm="1">
        <f t="array" ref="BW18" xml:space="preserve">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0</v>
      </c>
      <c r="BX18" s="69" cm="1">
        <f t="array" ref="BX18" xml:space="preserve">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0</v>
      </c>
      <c r="BY18" s="69" cm="1">
        <f t="array" ref="BY18" xml:space="preserve">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0</v>
      </c>
      <c r="BZ18" s="69" cm="1">
        <f t="array" ref="BZ18" xml:space="preserve">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0</v>
      </c>
      <c r="CA18" s="69" cm="1">
        <f t="array" ref="CA18" xml:space="preserve">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0</v>
      </c>
      <c r="CB18" s="69" cm="1">
        <f t="array" ref="CB18" xml:space="preserve">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0</v>
      </c>
      <c r="CC18" s="69">
        <f t="shared" si="15"/>
        <v>0</v>
      </c>
      <c r="CD18" s="70">
        <f t="shared" si="16"/>
        <v>0</v>
      </c>
      <c r="CE18" s="70">
        <f t="shared" si="17"/>
        <v>0</v>
      </c>
      <c r="CF18" s="70">
        <f t="shared" si="18"/>
        <v>0</v>
      </c>
      <c r="CG18" s="70">
        <f t="shared" si="19"/>
        <v>0</v>
      </c>
      <c r="CH18" s="70">
        <f t="shared" si="30"/>
        <v>0</v>
      </c>
      <c r="CI18" s="70">
        <f t="shared" si="20"/>
        <v>0</v>
      </c>
      <c r="CJ18" s="71">
        <v>0</v>
      </c>
      <c r="CK18" s="70">
        <f t="shared" si="21"/>
        <v>0</v>
      </c>
      <c r="CL18" s="70">
        <f t="shared" si="22"/>
        <v>0</v>
      </c>
      <c r="CM18" s="59"/>
      <c r="CN18" s="59"/>
      <c r="CO18" s="72"/>
      <c r="CP18" s="59"/>
      <c r="CQ18" s="73"/>
      <c r="CR18" s="73"/>
      <c r="CS18" s="73"/>
      <c r="CT18" s="72"/>
      <c r="CU18" s="79" t="s">
        <v>13</v>
      </c>
      <c r="CV18" s="60"/>
      <c r="CW18" s="60"/>
      <c r="CX18" s="60"/>
      <c r="CY18" s="71">
        <f t="shared" si="23"/>
        <v>0</v>
      </c>
      <c r="CZ18" s="71">
        <f t="shared" si="24"/>
        <v>0</v>
      </c>
      <c r="DA18" s="71">
        <f t="shared" si="25"/>
        <v>0</v>
      </c>
      <c r="DB18" s="70">
        <f t="shared" si="26"/>
        <v>0</v>
      </c>
      <c r="DC18" s="74"/>
      <c r="DD18" s="69"/>
      <c r="DE18" s="75">
        <v>0</v>
      </c>
      <c r="DF18" s="74"/>
      <c r="DG18" s="69">
        <f t="shared" si="27"/>
        <v>0</v>
      </c>
      <c r="DH18" s="76" t="s">
        <v>119</v>
      </c>
      <c r="DI18" s="77" cm="1">
        <f t="array" ref="DI18">IFERROR(
IF($ES18="LisChannel",
(ROUND(((INDEX({174.625;153.888888888889;130.972222222222},MATCH($AI18,{2;3;4}),0))*$AG18*$AI18),2)),0),0)</f>
        <v>0</v>
      </c>
      <c r="DJ18" s="77">
        <f t="shared" si="31"/>
        <v>0</v>
      </c>
      <c r="DK18" s="69" t="s">
        <v>93</v>
      </c>
      <c r="DL18" s="63">
        <v>0</v>
      </c>
      <c r="DM18" s="63">
        <v>0</v>
      </c>
      <c r="DN18" s="63">
        <v>0</v>
      </c>
      <c r="DO18" s="63">
        <v>0</v>
      </c>
      <c r="DP18" s="63">
        <v>0</v>
      </c>
      <c r="DQ18" s="63" cm="1">
        <f t="array" ref="DQ18">IFERROR(_xlfn.IFS(
$DK18="послед.",1-(1-$DL18)*(1-$DM18)*(1-$DN18)*(1-$DO18)*(1-$DP18),
$DK18="сумм.",$DL18+$DM18+$DN18+$DO18+$DP18),
0)</f>
        <v>0</v>
      </c>
      <c r="DR18" s="69" cm="1">
        <f t="array" ref="DR18" xml:space="preserve">
IFERROR(
_xlfn.IFS(
$BL18=0,
0,
$BL18&gt;0,
_xlfn.IFS($DK18="послед.",
$DJ18*(1-$DL18)*(1-$DM18)*(1-$DN18)*(1-$DO18)*(1-$DP18),
$DK18="сумм.",
$DJ18*(1-($DL18+$DM18+$DN18+$DO18+$DP18)))),0)</f>
        <v>0</v>
      </c>
      <c r="DS18" s="69" cm="1">
        <f t="array" ref="DS18" xml:space="preserve">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0</v>
      </c>
      <c r="DT18" s="69" cm="1">
        <f t="array" ref="DT18" xml:space="preserve">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0</v>
      </c>
      <c r="DU18" s="69" cm="1">
        <f t="array" ref="DU18" xml:space="preserve">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0</v>
      </c>
      <c r="DV18" s="69" cm="1">
        <f t="array" ref="DV18" xml:space="preserve">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0</v>
      </c>
      <c r="DW18" s="69" cm="1">
        <f t="array" ref="DW18" xml:space="preserve">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0</v>
      </c>
      <c r="DX18" s="69" cm="1">
        <f t="array" ref="DX18" xml:space="preserve">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0</v>
      </c>
      <c r="DY18" s="69" cm="1">
        <f t="array" ref="DY18" xml:space="preserve">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0</v>
      </c>
      <c r="DZ18" s="69" cm="1">
        <f t="array" ref="DZ18" xml:space="preserve">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0</v>
      </c>
      <c r="EA18" s="69" cm="1">
        <f t="array" ref="EA18" xml:space="preserve">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0</v>
      </c>
      <c r="EB18" s="69" cm="1">
        <f t="array" ref="EB18" xml:space="preserve">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0</v>
      </c>
      <c r="EC18" s="69" cm="1">
        <f t="array" ref="EC18" xml:space="preserve">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0</v>
      </c>
      <c r="ED18" s="69" cm="1">
        <f t="array" ref="ED18" xml:space="preserve">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0</v>
      </c>
      <c r="EE18" s="69">
        <f t="shared" si="32"/>
        <v>0</v>
      </c>
      <c r="EF18" s="69">
        <f t="shared" si="29"/>
        <v>0</v>
      </c>
      <c r="EG18" s="74">
        <v>1</v>
      </c>
      <c r="EH18" s="70">
        <v>0</v>
      </c>
      <c r="EI18" s="70">
        <f t="shared" si="33"/>
        <v>0</v>
      </c>
      <c r="EJ18" s="70">
        <f t="shared" si="34"/>
        <v>0</v>
      </c>
      <c r="EK18" s="70">
        <v>0</v>
      </c>
      <c r="EL18" s="70">
        <f t="shared" si="35"/>
        <v>0</v>
      </c>
      <c r="EM18" s="70">
        <f t="shared" si="36"/>
        <v>0</v>
      </c>
      <c r="EN18" s="70">
        <f t="shared" si="37"/>
        <v>0</v>
      </c>
      <c r="EO18" s="70">
        <f t="shared" si="38"/>
        <v>0</v>
      </c>
      <c r="EP18" s="59"/>
      <c r="EQ18" s="59"/>
      <c r="ER18" s="60" t="str" cm="1">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c r="ET18" s="60" t="str" cm="1">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c r="EV18" s="60"/>
      <c r="EW18" t="s">
        <v>13</v>
      </c>
    </row>
    <row r="19" spans="1:153" x14ac:dyDescent="0.25">
      <c r="A19" s="59"/>
      <c r="B19" s="60"/>
      <c r="C19" s="60"/>
      <c r="D19" s="60" t="str" cm="1">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t="str" cm="1">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s">
        <v>146</v>
      </c>
      <c r="G19" s="60"/>
      <c r="H19" s="60" t="str" cm="1">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n/a</v>
      </c>
      <c r="I19" s="60"/>
      <c r="J19" s="60"/>
      <c r="K19" s="60"/>
      <c r="L19" s="60"/>
      <c r="M19" s="60"/>
      <c r="N19" s="60"/>
      <c r="O19" s="60"/>
      <c r="P19" s="60" t="str" cm="1">
        <f t="array" ref="P19" xml:space="preserve">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c r="R19" s="60" t="str" cm="1">
        <f t="array" ref="R19" xml:space="preserve">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c r="T19" s="60"/>
      <c r="U19" s="60"/>
      <c r="V19" s="60" t="str">
        <f xml:space="preserve">
IF(P19="Видео",
"цифровой постер/ролик",
IF(ISNUMBER(MATCH(Q19,{"короб световой","короб световой | лайтбокс","короб световой | кристалайт","лайтбокс","лайт бокс","кристалайт","LB","lightbox"},)),
"бэклит",
IF(P19="Брендирование/оклейка",
"перфарированная пленка/самоклейка",
IF(P19="Экспонирование",
"под запрос",
IF(P19="Подвес",
"баннер/ткань",
"")))))</f>
        <v/>
      </c>
      <c r="W19" s="59"/>
      <c r="X19" s="59"/>
      <c r="Y19" s="59"/>
      <c r="Z19" s="61"/>
      <c r="AA19" s="61"/>
      <c r="AB19" s="61">
        <f t="shared" si="3"/>
        <v>0</v>
      </c>
      <c r="AC19" s="59"/>
      <c r="AD19" s="59"/>
      <c r="AE19" s="59"/>
      <c r="AF19" s="59"/>
      <c r="AG19" s="59"/>
      <c r="AH19" s="59"/>
      <c r="AI19" s="59"/>
      <c r="AJ19" s="59"/>
      <c r="AK19" s="59"/>
      <c r="AL19" s="62" t="str">
        <f t="shared" si="4"/>
        <v>-</v>
      </c>
      <c r="AM19" s="62" t="str">
        <f t="shared" si="5"/>
        <v>-</v>
      </c>
      <c r="AN19" s="63" t="str">
        <f t="shared" si="6"/>
        <v>-</v>
      </c>
      <c r="AO19" s="59" t="str">
        <f t="shared" si="7"/>
        <v>-</v>
      </c>
      <c r="AP19" s="62" t="str">
        <f t="shared" si="8"/>
        <v>-</v>
      </c>
      <c r="AQ19" s="64"/>
      <c r="AR19" s="61"/>
      <c r="AS19" s="61"/>
      <c r="AT19" s="61"/>
      <c r="AU19" s="65"/>
      <c r="AV19" s="66" t="str">
        <f t="shared" si="9"/>
        <v>n/a</v>
      </c>
      <c r="AW19" s="67"/>
      <c r="AX19" s="67"/>
      <c r="AY19" s="43" t="str">
        <f t="shared" si="10"/>
        <v/>
      </c>
      <c r="AZ19" s="68" cm="1">
        <f t="array" ref="AZ19" xml:space="preserve">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0</v>
      </c>
      <c r="BA19" s="68" cm="1">
        <f t="array" ref="BA19" xml:space="preserve">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0</v>
      </c>
      <c r="BB19" s="68" cm="1">
        <f t="array" ref="BB19" xml:space="preserve">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0</v>
      </c>
      <c r="BC19" s="68" cm="1">
        <f t="array" ref="BC19" xml:space="preserve">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0</v>
      </c>
      <c r="BD19" s="68" cm="1">
        <f t="array" ref="BD19" xml:space="preserve">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0</v>
      </c>
      <c r="BE19" s="68" cm="1">
        <f t="array" ref="BE19" xml:space="preserve">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0</v>
      </c>
      <c r="BF19" s="68" cm="1">
        <f t="array" ref="BF19" xml:space="preserve">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0</v>
      </c>
      <c r="BG19" s="68" cm="1">
        <f t="array" ref="BG19" xml:space="preserve">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0</v>
      </c>
      <c r="BH19" s="68" cm="1">
        <f t="array" ref="BH19" xml:space="preserve">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0</v>
      </c>
      <c r="BI19" s="68" cm="1">
        <f t="array" ref="BI19" xml:space="preserve">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0</v>
      </c>
      <c r="BJ19" s="68" cm="1">
        <f t="array" ref="BJ19" xml:space="preserve">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0</v>
      </c>
      <c r="BK19" s="68" cm="1">
        <f t="array" ref="BK19" xml:space="preserve">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0</v>
      </c>
      <c r="BL19" s="62">
        <f t="shared" si="11"/>
        <v>0</v>
      </c>
      <c r="BM19" s="65"/>
      <c r="BN19" s="69">
        <f t="shared" si="12"/>
        <v>0</v>
      </c>
      <c r="BO19" s="63">
        <f t="shared" si="13"/>
        <v>0</v>
      </c>
      <c r="BP19" s="69">
        <f t="shared" si="14"/>
        <v>0</v>
      </c>
      <c r="BQ19" s="69" cm="1">
        <f t="array" ref="BQ19" xml:space="preserve">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0</v>
      </c>
      <c r="BR19" s="69" cm="1">
        <f t="array" ref="BR19" xml:space="preserve">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0</v>
      </c>
      <c r="BS19" s="69" cm="1">
        <f t="array" ref="BS19" xml:space="preserve">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0</v>
      </c>
      <c r="BT19" s="69" cm="1">
        <f t="array" ref="BT19" xml:space="preserve">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0</v>
      </c>
      <c r="BU19" s="69" cm="1">
        <f t="array" ref="BU19" xml:space="preserve">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0</v>
      </c>
      <c r="BV19" s="69" cm="1">
        <f t="array" ref="BV19" xml:space="preserve">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0</v>
      </c>
      <c r="BW19" s="69" cm="1">
        <f t="array" ref="BW19" xml:space="preserve">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0</v>
      </c>
      <c r="BX19" s="69" cm="1">
        <f t="array" ref="BX19" xml:space="preserve">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0</v>
      </c>
      <c r="BY19" s="69" cm="1">
        <f t="array" ref="BY19" xml:space="preserve">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0</v>
      </c>
      <c r="BZ19" s="69" cm="1">
        <f t="array" ref="BZ19" xml:space="preserve">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0</v>
      </c>
      <c r="CA19" s="69" cm="1">
        <f t="array" ref="CA19" xml:space="preserve">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0</v>
      </c>
      <c r="CB19" s="69" cm="1">
        <f t="array" ref="CB19" xml:space="preserve">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0</v>
      </c>
      <c r="CC19" s="69">
        <f t="shared" si="15"/>
        <v>0</v>
      </c>
      <c r="CD19" s="70">
        <f t="shared" si="16"/>
        <v>0</v>
      </c>
      <c r="CE19" s="70">
        <f t="shared" si="17"/>
        <v>0</v>
      </c>
      <c r="CF19" s="70">
        <f t="shared" si="18"/>
        <v>0</v>
      </c>
      <c r="CG19" s="70">
        <f t="shared" si="19"/>
        <v>0</v>
      </c>
      <c r="CH19" s="70">
        <f t="shared" si="30"/>
        <v>0</v>
      </c>
      <c r="CI19" s="70">
        <f t="shared" si="20"/>
        <v>0</v>
      </c>
      <c r="CJ19" s="71">
        <v>0</v>
      </c>
      <c r="CK19" s="70">
        <f t="shared" si="21"/>
        <v>0</v>
      </c>
      <c r="CL19" s="70">
        <f t="shared" si="22"/>
        <v>0</v>
      </c>
      <c r="CM19" s="59"/>
      <c r="CN19" s="59"/>
      <c r="CO19" s="72"/>
      <c r="CP19" s="59"/>
      <c r="CQ19" s="73"/>
      <c r="CR19" s="73"/>
      <c r="CS19" s="73"/>
      <c r="CT19" s="72"/>
      <c r="CU19" s="79" t="s">
        <v>13</v>
      </c>
      <c r="CV19" s="60"/>
      <c r="CW19" s="60"/>
      <c r="CX19" s="60"/>
      <c r="CY19" s="71">
        <f t="shared" si="23"/>
        <v>0</v>
      </c>
      <c r="CZ19" s="71">
        <f t="shared" si="24"/>
        <v>0</v>
      </c>
      <c r="DA19" s="71">
        <f t="shared" si="25"/>
        <v>0</v>
      </c>
      <c r="DB19" s="70">
        <f t="shared" si="26"/>
        <v>0</v>
      </c>
      <c r="DC19" s="74"/>
      <c r="DD19" s="69"/>
      <c r="DE19" s="75">
        <v>0</v>
      </c>
      <c r="DF19" s="74"/>
      <c r="DG19" s="69">
        <f t="shared" si="27"/>
        <v>0</v>
      </c>
      <c r="DH19" s="76" t="s">
        <v>119</v>
      </c>
      <c r="DI19" s="77" cm="1">
        <f t="array" ref="DI19">IFERROR(
IF($ES19="LisChannel",
(ROUND(((INDEX({174.625;153.888888888889;130.972222222222},MATCH($AI19,{2;3;4}),0))*$AG19*$AI19),2)),0),0)</f>
        <v>0</v>
      </c>
      <c r="DJ19" s="77">
        <f t="shared" si="31"/>
        <v>0</v>
      </c>
      <c r="DK19" s="69" t="s">
        <v>93</v>
      </c>
      <c r="DL19" s="63">
        <v>0</v>
      </c>
      <c r="DM19" s="63">
        <v>0</v>
      </c>
      <c r="DN19" s="63">
        <v>0</v>
      </c>
      <c r="DO19" s="63">
        <v>0</v>
      </c>
      <c r="DP19" s="63">
        <v>0</v>
      </c>
      <c r="DQ19" s="63" cm="1">
        <f t="array" ref="DQ19">IFERROR(_xlfn.IFS(
$DK19="послед.",1-(1-$DL19)*(1-$DM19)*(1-$DN19)*(1-$DO19)*(1-$DP19),
$DK19="сумм.",$DL19+$DM19+$DN19+$DO19+$DP19),
0)</f>
        <v>0</v>
      </c>
      <c r="DR19" s="69" cm="1">
        <f t="array" ref="DR19" xml:space="preserve">
IFERROR(
_xlfn.IFS(
$BL19=0,
0,
$BL19&gt;0,
_xlfn.IFS($DK19="послед.",
$DJ19*(1-$DL19)*(1-$DM19)*(1-$DN19)*(1-$DO19)*(1-$DP19),
$DK19="сумм.",
$DJ19*(1-($DL19+$DM19+$DN19+$DO19+$DP19)))),0)</f>
        <v>0</v>
      </c>
      <c r="DS19" s="69" cm="1">
        <f t="array" ref="DS19" xml:space="preserve">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0</v>
      </c>
      <c r="DT19" s="69" cm="1">
        <f t="array" ref="DT19" xml:space="preserve">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0</v>
      </c>
      <c r="DU19" s="69" cm="1">
        <f t="array" ref="DU19" xml:space="preserve">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0</v>
      </c>
      <c r="DV19" s="69" cm="1">
        <f t="array" ref="DV19" xml:space="preserve">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0</v>
      </c>
      <c r="DW19" s="69" cm="1">
        <f t="array" ref="DW19" xml:space="preserve">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0</v>
      </c>
      <c r="DX19" s="69" cm="1">
        <f t="array" ref="DX19" xml:space="preserve">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0</v>
      </c>
      <c r="DY19" s="69" cm="1">
        <f t="array" ref="DY19" xml:space="preserve">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0</v>
      </c>
      <c r="DZ19" s="69" cm="1">
        <f t="array" ref="DZ19" xml:space="preserve">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0</v>
      </c>
      <c r="EA19" s="69" cm="1">
        <f t="array" ref="EA19" xml:space="preserve">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0</v>
      </c>
      <c r="EB19" s="69" cm="1">
        <f t="array" ref="EB19" xml:space="preserve">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0</v>
      </c>
      <c r="EC19" s="69" cm="1">
        <f t="array" ref="EC19" xml:space="preserve">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0</v>
      </c>
      <c r="ED19" s="69" cm="1">
        <f t="array" ref="ED19" xml:space="preserve">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0</v>
      </c>
      <c r="EE19" s="69">
        <f t="shared" si="32"/>
        <v>0</v>
      </c>
      <c r="EF19" s="69">
        <f t="shared" si="29"/>
        <v>0</v>
      </c>
      <c r="EG19" s="74">
        <v>1</v>
      </c>
      <c r="EH19" s="70">
        <v>0</v>
      </c>
      <c r="EI19" s="70">
        <f t="shared" si="33"/>
        <v>0</v>
      </c>
      <c r="EJ19" s="70">
        <f t="shared" si="34"/>
        <v>0</v>
      </c>
      <c r="EK19" s="70">
        <v>0</v>
      </c>
      <c r="EL19" s="70">
        <f t="shared" si="35"/>
        <v>0</v>
      </c>
      <c r="EM19" s="70">
        <f t="shared" si="36"/>
        <v>0</v>
      </c>
      <c r="EN19" s="70">
        <f t="shared" si="37"/>
        <v>0</v>
      </c>
      <c r="EO19" s="70">
        <f t="shared" si="38"/>
        <v>0</v>
      </c>
      <c r="EP19" s="59"/>
      <c r="EQ19" s="59"/>
      <c r="ER19" s="60" t="str" cm="1">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c r="ET19" s="60" t="str" cm="1">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c r="EV19" s="60"/>
      <c r="EW19" t="s">
        <v>13</v>
      </c>
    </row>
    <row r="20" spans="1:153" x14ac:dyDescent="0.25">
      <c r="A20" s="59"/>
      <c r="B20" s="60"/>
      <c r="C20" s="60"/>
      <c r="D20" s="60" t="str" cm="1">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t="str" cm="1">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s">
        <v>146</v>
      </c>
      <c r="G20" s="60"/>
      <c r="H20" s="60" t="str" cm="1">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n/a</v>
      </c>
      <c r="I20" s="60"/>
      <c r="J20" s="60"/>
      <c r="K20" s="60"/>
      <c r="L20" s="60"/>
      <c r="M20" s="60"/>
      <c r="N20" s="60"/>
      <c r="O20" s="60"/>
      <c r="P20" s="60" t="str" cm="1">
        <f t="array" ref="P20" xml:space="preserve">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c r="R20" s="60" t="str" cm="1">
        <f t="array" ref="R20" xml:space="preserve">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c r="T20" s="60"/>
      <c r="U20" s="60"/>
      <c r="V20" s="60" t="str">
        <f xml:space="preserve">
IF(P20="Видео",
"цифровой постер/ролик",
IF(ISNUMBER(MATCH(Q20,{"короб световой","короб световой | лайтбокс","короб световой | кристалайт","лайтбокс","лайт бокс","кристалайт","LB","lightbox"},)),
"бэклит",
IF(P20="Брендирование/оклейка",
"перфарированная пленка/самоклейка",
IF(P20="Экспонирование",
"под запрос",
IF(P20="Подвес",
"баннер/ткань",
"")))))</f>
        <v/>
      </c>
      <c r="W20" s="59"/>
      <c r="X20" s="59"/>
      <c r="Y20" s="59"/>
      <c r="Z20" s="61"/>
      <c r="AA20" s="61"/>
      <c r="AB20" s="61">
        <f t="shared" si="3"/>
        <v>0</v>
      </c>
      <c r="AC20" s="59"/>
      <c r="AD20" s="59"/>
      <c r="AE20" s="59"/>
      <c r="AF20" s="59"/>
      <c r="AG20" s="59"/>
      <c r="AH20" s="59"/>
      <c r="AI20" s="59"/>
      <c r="AJ20" s="59"/>
      <c r="AK20" s="59"/>
      <c r="AL20" s="62" t="str">
        <f t="shared" si="4"/>
        <v>-</v>
      </c>
      <c r="AM20" s="62" t="str">
        <f t="shared" si="5"/>
        <v>-</v>
      </c>
      <c r="AN20" s="63" t="str">
        <f t="shared" si="6"/>
        <v>-</v>
      </c>
      <c r="AO20" s="59" t="str">
        <f t="shared" si="7"/>
        <v>-</v>
      </c>
      <c r="AP20" s="62" t="str">
        <f t="shared" si="8"/>
        <v>-</v>
      </c>
      <c r="AQ20" s="64"/>
      <c r="AR20" s="61"/>
      <c r="AS20" s="61"/>
      <c r="AT20" s="61"/>
      <c r="AU20" s="65"/>
      <c r="AV20" s="66" t="str">
        <f t="shared" si="9"/>
        <v>n/a</v>
      </c>
      <c r="AW20" s="67"/>
      <c r="AX20" s="67"/>
      <c r="AY20" s="43" t="str">
        <f t="shared" si="10"/>
        <v/>
      </c>
      <c r="AZ20" s="68" cm="1">
        <f t="array" ref="AZ20" xml:space="preserve">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0</v>
      </c>
      <c r="BA20" s="68" cm="1">
        <f t="array" ref="BA20" xml:space="preserve">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0</v>
      </c>
      <c r="BB20" s="68" cm="1">
        <f t="array" ref="BB20" xml:space="preserve">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0</v>
      </c>
      <c r="BC20" s="68" cm="1">
        <f t="array" ref="BC20" xml:space="preserve">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0</v>
      </c>
      <c r="BD20" s="68" cm="1">
        <f t="array" ref="BD20" xml:space="preserve">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0</v>
      </c>
      <c r="BE20" s="68" cm="1">
        <f t="array" ref="BE20" xml:space="preserve">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0</v>
      </c>
      <c r="BF20" s="68" cm="1">
        <f t="array" ref="BF20" xml:space="preserve">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0</v>
      </c>
      <c r="BG20" s="68" cm="1">
        <f t="array" ref="BG20" xml:space="preserve">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0</v>
      </c>
      <c r="BH20" s="68" cm="1">
        <f t="array" ref="BH20" xml:space="preserve">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0</v>
      </c>
      <c r="BI20" s="68" cm="1">
        <f t="array" ref="BI20" xml:space="preserve">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0</v>
      </c>
      <c r="BJ20" s="68" cm="1">
        <f t="array" ref="BJ20" xml:space="preserve">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0</v>
      </c>
      <c r="BK20" s="68" cm="1">
        <f t="array" ref="BK20" xml:space="preserve">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0</v>
      </c>
      <c r="BL20" s="62">
        <f t="shared" si="11"/>
        <v>0</v>
      </c>
      <c r="BM20" s="65"/>
      <c r="BN20" s="69">
        <f t="shared" si="12"/>
        <v>0</v>
      </c>
      <c r="BO20" s="63">
        <f t="shared" si="13"/>
        <v>0</v>
      </c>
      <c r="BP20" s="69">
        <f t="shared" si="14"/>
        <v>0</v>
      </c>
      <c r="BQ20" s="69" cm="1">
        <f t="array" ref="BQ20" xml:space="preserve">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0</v>
      </c>
      <c r="BR20" s="69" cm="1">
        <f t="array" ref="BR20" xml:space="preserve">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0</v>
      </c>
      <c r="BS20" s="69" cm="1">
        <f t="array" ref="BS20" xml:space="preserve">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0</v>
      </c>
      <c r="BT20" s="69" cm="1">
        <f t="array" ref="BT20" xml:space="preserve">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0</v>
      </c>
      <c r="BU20" s="69" cm="1">
        <f t="array" ref="BU20" xml:space="preserve">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0</v>
      </c>
      <c r="BV20" s="69" cm="1">
        <f t="array" ref="BV20" xml:space="preserve">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0</v>
      </c>
      <c r="BW20" s="69" cm="1">
        <f t="array" ref="BW20" xml:space="preserve">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0</v>
      </c>
      <c r="BX20" s="69" cm="1">
        <f t="array" ref="BX20" xml:space="preserve">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0</v>
      </c>
      <c r="BY20" s="69" cm="1">
        <f t="array" ref="BY20" xml:space="preserve">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0</v>
      </c>
      <c r="BZ20" s="69" cm="1">
        <f t="array" ref="BZ20" xml:space="preserve">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0</v>
      </c>
      <c r="CA20" s="69" cm="1">
        <f t="array" ref="CA20" xml:space="preserve">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0</v>
      </c>
      <c r="CB20" s="69" cm="1">
        <f t="array" ref="CB20" xml:space="preserve">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0</v>
      </c>
      <c r="CC20" s="69">
        <f t="shared" si="15"/>
        <v>0</v>
      </c>
      <c r="CD20" s="70">
        <f t="shared" si="16"/>
        <v>0</v>
      </c>
      <c r="CE20" s="70">
        <f t="shared" si="17"/>
        <v>0</v>
      </c>
      <c r="CF20" s="70">
        <f t="shared" si="18"/>
        <v>0</v>
      </c>
      <c r="CG20" s="70">
        <f t="shared" si="19"/>
        <v>0</v>
      </c>
      <c r="CH20" s="70">
        <f t="shared" si="30"/>
        <v>0</v>
      </c>
      <c r="CI20" s="70">
        <f t="shared" si="20"/>
        <v>0</v>
      </c>
      <c r="CJ20" s="71">
        <v>0</v>
      </c>
      <c r="CK20" s="70">
        <f t="shared" si="21"/>
        <v>0</v>
      </c>
      <c r="CL20" s="70">
        <f t="shared" si="22"/>
        <v>0</v>
      </c>
      <c r="CM20" s="59"/>
      <c r="CN20" s="59"/>
      <c r="CO20" s="72"/>
      <c r="CP20" s="59"/>
      <c r="CQ20" s="73"/>
      <c r="CR20" s="73"/>
      <c r="CS20" s="73"/>
      <c r="CT20" s="72"/>
      <c r="CU20" s="79" t="s">
        <v>13</v>
      </c>
      <c r="CV20" s="60"/>
      <c r="CW20" s="60"/>
      <c r="CX20" s="60"/>
      <c r="CY20" s="71">
        <f t="shared" si="23"/>
        <v>0</v>
      </c>
      <c r="CZ20" s="71">
        <f t="shared" si="24"/>
        <v>0</v>
      </c>
      <c r="DA20" s="71">
        <f t="shared" si="25"/>
        <v>0</v>
      </c>
      <c r="DB20" s="70">
        <f t="shared" si="26"/>
        <v>0</v>
      </c>
      <c r="DC20" s="74"/>
      <c r="DD20" s="69"/>
      <c r="DE20" s="75">
        <v>0</v>
      </c>
      <c r="DF20" s="74"/>
      <c r="DG20" s="69">
        <f t="shared" si="27"/>
        <v>0</v>
      </c>
      <c r="DH20" s="76" t="s">
        <v>119</v>
      </c>
      <c r="DI20" s="77" cm="1">
        <f t="array" ref="DI20">IFERROR(
IF($ES20="LisChannel",
(ROUND(((INDEX({174.625;153.888888888889;130.972222222222},MATCH($AI20,{2;3;4}),0))*$AG20*$AI20),2)),0),0)</f>
        <v>0</v>
      </c>
      <c r="DJ20" s="77">
        <f t="shared" si="31"/>
        <v>0</v>
      </c>
      <c r="DK20" s="69" t="s">
        <v>93</v>
      </c>
      <c r="DL20" s="63">
        <v>0</v>
      </c>
      <c r="DM20" s="63">
        <v>0</v>
      </c>
      <c r="DN20" s="63">
        <v>0</v>
      </c>
      <c r="DO20" s="63">
        <v>0</v>
      </c>
      <c r="DP20" s="63">
        <v>0</v>
      </c>
      <c r="DQ20" s="63" cm="1">
        <f t="array" ref="DQ20">IFERROR(_xlfn.IFS(
$DK20="послед.",1-(1-$DL20)*(1-$DM20)*(1-$DN20)*(1-$DO20)*(1-$DP20),
$DK20="сумм.",$DL20+$DM20+$DN20+$DO20+$DP20),
0)</f>
        <v>0</v>
      </c>
      <c r="DR20" s="69" cm="1">
        <f t="array" ref="DR20" xml:space="preserve">
IFERROR(
_xlfn.IFS(
$BL20=0,
0,
$BL20&gt;0,
_xlfn.IFS($DK20="послед.",
$DJ20*(1-$DL20)*(1-$DM20)*(1-$DN20)*(1-$DO20)*(1-$DP20),
$DK20="сумм.",
$DJ20*(1-($DL20+$DM20+$DN20+$DO20+$DP20)))),0)</f>
        <v>0</v>
      </c>
      <c r="DS20" s="69" cm="1">
        <f t="array" ref="DS20" xml:space="preserve">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0</v>
      </c>
      <c r="DT20" s="69" cm="1">
        <f t="array" ref="DT20" xml:space="preserve">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0</v>
      </c>
      <c r="DU20" s="69" cm="1">
        <f t="array" ref="DU20" xml:space="preserve">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0</v>
      </c>
      <c r="DV20" s="69" cm="1">
        <f t="array" ref="DV20" xml:space="preserve">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0</v>
      </c>
      <c r="DW20" s="69" cm="1">
        <f t="array" ref="DW20" xml:space="preserve">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0</v>
      </c>
      <c r="DX20" s="69" cm="1">
        <f t="array" ref="DX20" xml:space="preserve">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0</v>
      </c>
      <c r="DY20" s="69" cm="1">
        <f t="array" ref="DY20" xml:space="preserve">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0</v>
      </c>
      <c r="DZ20" s="69" cm="1">
        <f t="array" ref="DZ20" xml:space="preserve">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0</v>
      </c>
      <c r="EA20" s="69" cm="1">
        <f t="array" ref="EA20" xml:space="preserve">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0</v>
      </c>
      <c r="EB20" s="69" cm="1">
        <f t="array" ref="EB20" xml:space="preserve">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0</v>
      </c>
      <c r="EC20" s="69" cm="1">
        <f t="array" ref="EC20" xml:space="preserve">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0</v>
      </c>
      <c r="ED20" s="69" cm="1">
        <f t="array" ref="ED20" xml:space="preserve">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0</v>
      </c>
      <c r="EE20" s="69">
        <f t="shared" si="32"/>
        <v>0</v>
      </c>
      <c r="EF20" s="69">
        <f t="shared" si="29"/>
        <v>0</v>
      </c>
      <c r="EG20" s="74">
        <v>1</v>
      </c>
      <c r="EH20" s="70">
        <v>0</v>
      </c>
      <c r="EI20" s="70">
        <f t="shared" si="33"/>
        <v>0</v>
      </c>
      <c r="EJ20" s="70">
        <f t="shared" si="34"/>
        <v>0</v>
      </c>
      <c r="EK20" s="70">
        <v>0</v>
      </c>
      <c r="EL20" s="70">
        <f t="shared" si="35"/>
        <v>0</v>
      </c>
      <c r="EM20" s="70">
        <f t="shared" si="36"/>
        <v>0</v>
      </c>
      <c r="EN20" s="70">
        <f t="shared" si="37"/>
        <v>0</v>
      </c>
      <c r="EO20" s="70">
        <f t="shared" si="38"/>
        <v>0</v>
      </c>
      <c r="EP20" s="59"/>
      <c r="EQ20" s="59"/>
      <c r="ER20" s="60" t="str" cm="1">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c r="ET20" s="60" t="str" cm="1">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c r="EV20" s="60"/>
      <c r="EW20" t="s">
        <v>13</v>
      </c>
    </row>
    <row r="21" spans="1:153" x14ac:dyDescent="0.25">
      <c r="A21" s="59"/>
      <c r="B21" s="60"/>
      <c r="C21" s="60"/>
      <c r="D21" s="60" t="str" cm="1">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t="str" cm="1">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s">
        <v>146</v>
      </c>
      <c r="G21" s="60"/>
      <c r="H21" s="60" t="str" cm="1">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n/a</v>
      </c>
      <c r="I21" s="60"/>
      <c r="J21" s="60"/>
      <c r="K21" s="60"/>
      <c r="L21" s="60"/>
      <c r="M21" s="60"/>
      <c r="N21" s="60"/>
      <c r="O21" s="60"/>
      <c r="P21" s="60" t="str" cm="1">
        <f t="array" ref="P21" xml:space="preserve">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c r="R21" s="60" t="str" cm="1">
        <f t="array" ref="R21" xml:space="preserve">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c r="T21" s="60"/>
      <c r="U21" s="60"/>
      <c r="V21" s="60" t="str">
        <f xml:space="preserve">
IF(P21="Видео",
"цифровой постер/ролик",
IF(ISNUMBER(MATCH(Q21,{"короб световой","короб световой | лайтбокс","короб световой | кристалайт","лайтбокс","лайт бокс","кристалайт","LB","lightbox"},)),
"бэклит",
IF(P21="Брендирование/оклейка",
"перфарированная пленка/самоклейка",
IF(P21="Экспонирование",
"под запрос",
IF(P21="Подвес",
"баннер/ткань",
"")))))</f>
        <v/>
      </c>
      <c r="W21" s="59"/>
      <c r="X21" s="59"/>
      <c r="Y21" s="59"/>
      <c r="Z21" s="61"/>
      <c r="AA21" s="61"/>
      <c r="AB21" s="61">
        <f t="shared" si="3"/>
        <v>0</v>
      </c>
      <c r="AC21" s="59"/>
      <c r="AD21" s="59"/>
      <c r="AE21" s="59"/>
      <c r="AF21" s="59"/>
      <c r="AG21" s="59"/>
      <c r="AH21" s="59"/>
      <c r="AI21" s="59"/>
      <c r="AJ21" s="59"/>
      <c r="AK21" s="59"/>
      <c r="AL21" s="62" t="str">
        <f t="shared" si="4"/>
        <v>-</v>
      </c>
      <c r="AM21" s="62" t="str">
        <f t="shared" si="5"/>
        <v>-</v>
      </c>
      <c r="AN21" s="63" t="str">
        <f t="shared" si="6"/>
        <v>-</v>
      </c>
      <c r="AO21" s="59" t="str">
        <f t="shared" si="7"/>
        <v>-</v>
      </c>
      <c r="AP21" s="62" t="str">
        <f t="shared" si="8"/>
        <v>-</v>
      </c>
      <c r="AQ21" s="64"/>
      <c r="AR21" s="61"/>
      <c r="AS21" s="61"/>
      <c r="AT21" s="61"/>
      <c r="AU21" s="65"/>
      <c r="AV21" s="66" t="str">
        <f t="shared" si="9"/>
        <v>n/a</v>
      </c>
      <c r="AW21" s="67"/>
      <c r="AX21" s="67"/>
      <c r="AY21" s="43" t="str">
        <f t="shared" si="10"/>
        <v/>
      </c>
      <c r="AZ21" s="68" cm="1">
        <f t="array" ref="AZ21" xml:space="preserve">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0</v>
      </c>
      <c r="BA21" s="68" cm="1">
        <f t="array" ref="BA21" xml:space="preserve">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0</v>
      </c>
      <c r="BB21" s="68" cm="1">
        <f t="array" ref="BB21" xml:space="preserve">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0</v>
      </c>
      <c r="BC21" s="68" cm="1">
        <f t="array" ref="BC21" xml:space="preserve">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0</v>
      </c>
      <c r="BD21" s="68" cm="1">
        <f t="array" ref="BD21" xml:space="preserve">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0</v>
      </c>
      <c r="BE21" s="68" cm="1">
        <f t="array" ref="BE21" xml:space="preserve">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0</v>
      </c>
      <c r="BF21" s="68" cm="1">
        <f t="array" ref="BF21" xml:space="preserve">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0</v>
      </c>
      <c r="BG21" s="68" cm="1">
        <f t="array" ref="BG21" xml:space="preserve">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0</v>
      </c>
      <c r="BH21" s="68" cm="1">
        <f t="array" ref="BH21" xml:space="preserve">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0</v>
      </c>
      <c r="BI21" s="68" cm="1">
        <f t="array" ref="BI21" xml:space="preserve">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0</v>
      </c>
      <c r="BJ21" s="68" cm="1">
        <f t="array" ref="BJ21" xml:space="preserve">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0</v>
      </c>
      <c r="BK21" s="68" cm="1">
        <f t="array" ref="BK21" xml:space="preserve">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0</v>
      </c>
      <c r="BL21" s="62">
        <f t="shared" si="11"/>
        <v>0</v>
      </c>
      <c r="BM21" s="65"/>
      <c r="BN21" s="69">
        <f t="shared" si="12"/>
        <v>0</v>
      </c>
      <c r="BO21" s="63">
        <f t="shared" si="13"/>
        <v>0</v>
      </c>
      <c r="BP21" s="69">
        <f t="shared" si="14"/>
        <v>0</v>
      </c>
      <c r="BQ21" s="69" cm="1">
        <f t="array" ref="BQ21" xml:space="preserve">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0</v>
      </c>
      <c r="BR21" s="69" cm="1">
        <f t="array" ref="BR21" xml:space="preserve">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0</v>
      </c>
      <c r="BS21" s="69" cm="1">
        <f t="array" ref="BS21" xml:space="preserve">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0</v>
      </c>
      <c r="BT21" s="69" cm="1">
        <f t="array" ref="BT21" xml:space="preserve">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0</v>
      </c>
      <c r="BU21" s="69" cm="1">
        <f t="array" ref="BU21" xml:space="preserve">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0</v>
      </c>
      <c r="BV21" s="69" cm="1">
        <f t="array" ref="BV21" xml:space="preserve">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0</v>
      </c>
      <c r="BW21" s="69" cm="1">
        <f t="array" ref="BW21" xml:space="preserve">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0</v>
      </c>
      <c r="BX21" s="69" cm="1">
        <f t="array" ref="BX21" xml:space="preserve">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0</v>
      </c>
      <c r="BY21" s="69" cm="1">
        <f t="array" ref="BY21" xml:space="preserve">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0</v>
      </c>
      <c r="BZ21" s="69" cm="1">
        <f t="array" ref="BZ21" xml:space="preserve">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0</v>
      </c>
      <c r="CA21" s="69" cm="1">
        <f t="array" ref="CA21" xml:space="preserve">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0</v>
      </c>
      <c r="CB21" s="69" cm="1">
        <f t="array" ref="CB21" xml:space="preserve">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0</v>
      </c>
      <c r="CC21" s="69">
        <f t="shared" si="15"/>
        <v>0</v>
      </c>
      <c r="CD21" s="70">
        <f t="shared" si="16"/>
        <v>0</v>
      </c>
      <c r="CE21" s="70">
        <f t="shared" si="17"/>
        <v>0</v>
      </c>
      <c r="CF21" s="70">
        <f t="shared" si="18"/>
        <v>0</v>
      </c>
      <c r="CG21" s="70">
        <f t="shared" si="19"/>
        <v>0</v>
      </c>
      <c r="CH21" s="70">
        <f t="shared" si="30"/>
        <v>0</v>
      </c>
      <c r="CI21" s="70">
        <f t="shared" si="20"/>
        <v>0</v>
      </c>
      <c r="CJ21" s="71">
        <v>0</v>
      </c>
      <c r="CK21" s="70">
        <f t="shared" si="21"/>
        <v>0</v>
      </c>
      <c r="CL21" s="70">
        <f t="shared" si="22"/>
        <v>0</v>
      </c>
      <c r="CM21" s="59"/>
      <c r="CN21" s="59"/>
      <c r="CO21" s="72"/>
      <c r="CP21" s="59"/>
      <c r="CQ21" s="73"/>
      <c r="CR21" s="73"/>
      <c r="CS21" s="73"/>
      <c r="CT21" s="72"/>
      <c r="CU21" s="79" t="s">
        <v>13</v>
      </c>
      <c r="CV21" s="60"/>
      <c r="CW21" s="60"/>
      <c r="CX21" s="60"/>
      <c r="CY21" s="71">
        <f t="shared" si="23"/>
        <v>0</v>
      </c>
      <c r="CZ21" s="71">
        <f t="shared" si="24"/>
        <v>0</v>
      </c>
      <c r="DA21" s="71">
        <f t="shared" si="25"/>
        <v>0</v>
      </c>
      <c r="DB21" s="70">
        <f t="shared" si="26"/>
        <v>0</v>
      </c>
      <c r="DC21" s="74"/>
      <c r="DD21" s="69"/>
      <c r="DE21" s="75">
        <v>0</v>
      </c>
      <c r="DF21" s="74"/>
      <c r="DG21" s="69">
        <f t="shared" si="27"/>
        <v>0</v>
      </c>
      <c r="DH21" s="76" t="s">
        <v>119</v>
      </c>
      <c r="DI21" s="77" cm="1">
        <f t="array" ref="DI21">IFERROR(
IF($ES21="LisChannel",
(ROUND(((INDEX({174.625;153.888888888889;130.972222222222},MATCH($AI21,{2;3;4}),0))*$AG21*$AI21),2)),0),0)</f>
        <v>0</v>
      </c>
      <c r="DJ21" s="77">
        <f t="shared" si="31"/>
        <v>0</v>
      </c>
      <c r="DK21" s="69" t="s">
        <v>93</v>
      </c>
      <c r="DL21" s="63">
        <v>0</v>
      </c>
      <c r="DM21" s="63">
        <v>0</v>
      </c>
      <c r="DN21" s="63">
        <v>0</v>
      </c>
      <c r="DO21" s="63">
        <v>0</v>
      </c>
      <c r="DP21" s="63">
        <v>0</v>
      </c>
      <c r="DQ21" s="63" cm="1">
        <f t="array" ref="DQ21">IFERROR(_xlfn.IFS(
$DK21="послед.",1-(1-$DL21)*(1-$DM21)*(1-$DN21)*(1-$DO21)*(1-$DP21),
$DK21="сумм.",$DL21+$DM21+$DN21+$DO21+$DP21),
0)</f>
        <v>0</v>
      </c>
      <c r="DR21" s="69" cm="1">
        <f t="array" ref="DR21" xml:space="preserve">
IFERROR(
_xlfn.IFS(
$BL21=0,
0,
$BL21&gt;0,
_xlfn.IFS($DK21="послед.",
$DJ21*(1-$DL21)*(1-$DM21)*(1-$DN21)*(1-$DO21)*(1-$DP21),
$DK21="сумм.",
$DJ21*(1-($DL21+$DM21+$DN21+$DO21+$DP21)))),0)</f>
        <v>0</v>
      </c>
      <c r="DS21" s="69" cm="1">
        <f t="array" ref="DS21" xml:space="preserve">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0</v>
      </c>
      <c r="DT21" s="69" cm="1">
        <f t="array" ref="DT21" xml:space="preserve">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0</v>
      </c>
      <c r="DU21" s="69" cm="1">
        <f t="array" ref="DU21" xml:space="preserve">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0</v>
      </c>
      <c r="DV21" s="69" cm="1">
        <f t="array" ref="DV21" xml:space="preserve">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0</v>
      </c>
      <c r="DW21" s="69" cm="1">
        <f t="array" ref="DW21" xml:space="preserve">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0</v>
      </c>
      <c r="DX21" s="69" cm="1">
        <f t="array" ref="DX21" xml:space="preserve">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0</v>
      </c>
      <c r="DY21" s="69" cm="1">
        <f t="array" ref="DY21" xml:space="preserve">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0</v>
      </c>
      <c r="DZ21" s="69" cm="1">
        <f t="array" ref="DZ21" xml:space="preserve">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0</v>
      </c>
      <c r="EA21" s="69" cm="1">
        <f t="array" ref="EA21" xml:space="preserve">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0</v>
      </c>
      <c r="EB21" s="69" cm="1">
        <f t="array" ref="EB21" xml:space="preserve">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0</v>
      </c>
      <c r="EC21" s="69" cm="1">
        <f t="array" ref="EC21" xml:space="preserve">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0</v>
      </c>
      <c r="ED21" s="69" cm="1">
        <f t="array" ref="ED21" xml:space="preserve">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0</v>
      </c>
      <c r="EE21" s="69">
        <f t="shared" si="32"/>
        <v>0</v>
      </c>
      <c r="EF21" s="69">
        <f t="shared" si="29"/>
        <v>0</v>
      </c>
      <c r="EG21" s="74">
        <v>1</v>
      </c>
      <c r="EH21" s="70">
        <v>0</v>
      </c>
      <c r="EI21" s="70">
        <f t="shared" si="33"/>
        <v>0</v>
      </c>
      <c r="EJ21" s="70">
        <f t="shared" si="34"/>
        <v>0</v>
      </c>
      <c r="EK21" s="70">
        <v>0</v>
      </c>
      <c r="EL21" s="70">
        <f t="shared" si="35"/>
        <v>0</v>
      </c>
      <c r="EM21" s="70">
        <f t="shared" si="36"/>
        <v>0</v>
      </c>
      <c r="EN21" s="70">
        <f t="shared" si="37"/>
        <v>0</v>
      </c>
      <c r="EO21" s="70">
        <f t="shared" si="38"/>
        <v>0</v>
      </c>
      <c r="EP21" s="59"/>
      <c r="EQ21" s="59"/>
      <c r="ER21" s="60" t="str" cm="1">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c r="ET21" s="60" t="str" cm="1">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c r="EV21" s="60"/>
      <c r="EW21" t="s">
        <v>13</v>
      </c>
    </row>
    <row r="22" spans="1:153" x14ac:dyDescent="0.25">
      <c r="A22" s="59"/>
      <c r="B22" s="60"/>
      <c r="C22" s="60"/>
      <c r="D22" s="60" t="str" cm="1">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t="str" cm="1">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s">
        <v>146</v>
      </c>
      <c r="G22" s="60"/>
      <c r="H22" s="60" t="str" cm="1">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n/a</v>
      </c>
      <c r="I22" s="60"/>
      <c r="J22" s="60"/>
      <c r="K22" s="60"/>
      <c r="L22" s="60"/>
      <c r="M22" s="60"/>
      <c r="N22" s="60"/>
      <c r="O22" s="60"/>
      <c r="P22" s="60" t="str" cm="1">
        <f t="array" ref="P22" xml:space="preserve">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c r="R22" s="60" t="str" cm="1">
        <f t="array" ref="R22" xml:space="preserve">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c r="T22" s="60"/>
      <c r="U22" s="60"/>
      <c r="V22" s="60" t="str">
        <f xml:space="preserve">
IF(P22="Видео",
"цифровой постер/ролик",
IF(ISNUMBER(MATCH(Q22,{"короб световой","короб световой | лайтбокс","короб световой | кристалайт","лайтбокс","лайт бокс","кристалайт","LB","lightbox"},)),
"бэклит",
IF(P22="Брендирование/оклейка",
"перфарированная пленка/самоклейка",
IF(P22="Экспонирование",
"под запрос",
IF(P22="Подвес",
"баннер/ткань",
"")))))</f>
        <v/>
      </c>
      <c r="W22" s="59"/>
      <c r="X22" s="59"/>
      <c r="Y22" s="59"/>
      <c r="Z22" s="61"/>
      <c r="AA22" s="61"/>
      <c r="AB22" s="61">
        <f t="shared" si="3"/>
        <v>0</v>
      </c>
      <c r="AC22" s="59"/>
      <c r="AD22" s="59"/>
      <c r="AE22" s="59"/>
      <c r="AF22" s="59"/>
      <c r="AG22" s="59"/>
      <c r="AH22" s="59"/>
      <c r="AI22" s="59"/>
      <c r="AJ22" s="59"/>
      <c r="AK22" s="59"/>
      <c r="AL22" s="62" t="str">
        <f t="shared" si="4"/>
        <v>-</v>
      </c>
      <c r="AM22" s="62" t="str">
        <f t="shared" si="5"/>
        <v>-</v>
      </c>
      <c r="AN22" s="63" t="str">
        <f t="shared" si="6"/>
        <v>-</v>
      </c>
      <c r="AO22" s="59" t="str">
        <f t="shared" si="7"/>
        <v>-</v>
      </c>
      <c r="AP22" s="62" t="str">
        <f t="shared" si="8"/>
        <v>-</v>
      </c>
      <c r="AQ22" s="64"/>
      <c r="AR22" s="61"/>
      <c r="AS22" s="61"/>
      <c r="AT22" s="61"/>
      <c r="AU22" s="65"/>
      <c r="AV22" s="66" t="str">
        <f t="shared" si="9"/>
        <v>n/a</v>
      </c>
      <c r="AW22" s="67"/>
      <c r="AX22" s="67"/>
      <c r="AY22" s="43" t="str">
        <f t="shared" si="10"/>
        <v/>
      </c>
      <c r="AZ22" s="68" cm="1">
        <f t="array" ref="AZ22" xml:space="preserve">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0</v>
      </c>
      <c r="BA22" s="68" cm="1">
        <f t="array" ref="BA22" xml:space="preserve">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0</v>
      </c>
      <c r="BB22" s="68" cm="1">
        <f t="array" ref="BB22" xml:space="preserve">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0</v>
      </c>
      <c r="BC22" s="68" cm="1">
        <f t="array" ref="BC22" xml:space="preserve">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0</v>
      </c>
      <c r="BD22" s="68" cm="1">
        <f t="array" ref="BD22" xml:space="preserve">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0</v>
      </c>
      <c r="BE22" s="68" cm="1">
        <f t="array" ref="BE22" xml:space="preserve">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0</v>
      </c>
      <c r="BF22" s="68" cm="1">
        <f t="array" ref="BF22" xml:space="preserve">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0</v>
      </c>
      <c r="BG22" s="68" cm="1">
        <f t="array" ref="BG22" xml:space="preserve">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0</v>
      </c>
      <c r="BH22" s="68" cm="1">
        <f t="array" ref="BH22" xml:space="preserve">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0</v>
      </c>
      <c r="BI22" s="68" cm="1">
        <f t="array" ref="BI22" xml:space="preserve">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0</v>
      </c>
      <c r="BJ22" s="68" cm="1">
        <f t="array" ref="BJ22" xml:space="preserve">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0</v>
      </c>
      <c r="BK22" s="68" cm="1">
        <f t="array" ref="BK22" xml:space="preserve">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0</v>
      </c>
      <c r="BL22" s="62">
        <f t="shared" si="11"/>
        <v>0</v>
      </c>
      <c r="BM22" s="65"/>
      <c r="BN22" s="69">
        <f t="shared" si="12"/>
        <v>0</v>
      </c>
      <c r="BO22" s="63">
        <f t="shared" si="13"/>
        <v>0</v>
      </c>
      <c r="BP22" s="69">
        <f t="shared" si="14"/>
        <v>0</v>
      </c>
      <c r="BQ22" s="69" cm="1">
        <f t="array" ref="BQ22" xml:space="preserve">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0</v>
      </c>
      <c r="BR22" s="69" cm="1">
        <f t="array" ref="BR22" xml:space="preserve">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0</v>
      </c>
      <c r="BS22" s="69" cm="1">
        <f t="array" ref="BS22" xml:space="preserve">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0</v>
      </c>
      <c r="BT22" s="69" cm="1">
        <f t="array" ref="BT22" xml:space="preserve">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0</v>
      </c>
      <c r="BU22" s="69" cm="1">
        <f t="array" ref="BU22" xml:space="preserve">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0</v>
      </c>
      <c r="BV22" s="69" cm="1">
        <f t="array" ref="BV22" xml:space="preserve">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0</v>
      </c>
      <c r="BW22" s="69" cm="1">
        <f t="array" ref="BW22" xml:space="preserve">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0</v>
      </c>
      <c r="BX22" s="69" cm="1">
        <f t="array" ref="BX22" xml:space="preserve">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0</v>
      </c>
      <c r="BY22" s="69" cm="1">
        <f t="array" ref="BY22" xml:space="preserve">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0</v>
      </c>
      <c r="BZ22" s="69" cm="1">
        <f t="array" ref="BZ22" xml:space="preserve">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0</v>
      </c>
      <c r="CA22" s="69" cm="1">
        <f t="array" ref="CA22" xml:space="preserve">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0</v>
      </c>
      <c r="CB22" s="69" cm="1">
        <f t="array" ref="CB22" xml:space="preserve">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0</v>
      </c>
      <c r="CC22" s="69">
        <f t="shared" si="15"/>
        <v>0</v>
      </c>
      <c r="CD22" s="70">
        <f t="shared" si="16"/>
        <v>0</v>
      </c>
      <c r="CE22" s="70">
        <f t="shared" si="17"/>
        <v>0</v>
      </c>
      <c r="CF22" s="70">
        <f t="shared" si="18"/>
        <v>0</v>
      </c>
      <c r="CG22" s="70">
        <f t="shared" si="19"/>
        <v>0</v>
      </c>
      <c r="CH22" s="70">
        <f t="shared" si="30"/>
        <v>0</v>
      </c>
      <c r="CI22" s="70">
        <f t="shared" si="20"/>
        <v>0</v>
      </c>
      <c r="CJ22" s="71">
        <v>0</v>
      </c>
      <c r="CK22" s="70">
        <f t="shared" si="21"/>
        <v>0</v>
      </c>
      <c r="CL22" s="70">
        <f t="shared" si="22"/>
        <v>0</v>
      </c>
      <c r="CM22" s="59"/>
      <c r="CN22" s="59"/>
      <c r="CO22" s="72"/>
      <c r="CP22" s="59"/>
      <c r="CQ22" s="73"/>
      <c r="CR22" s="73"/>
      <c r="CS22" s="73"/>
      <c r="CT22" s="72"/>
      <c r="CU22" s="79" t="s">
        <v>13</v>
      </c>
      <c r="CV22" s="60"/>
      <c r="CW22" s="60"/>
      <c r="CX22" s="60"/>
      <c r="CY22" s="71">
        <f t="shared" si="23"/>
        <v>0</v>
      </c>
      <c r="CZ22" s="71">
        <f t="shared" si="24"/>
        <v>0</v>
      </c>
      <c r="DA22" s="71">
        <f t="shared" si="25"/>
        <v>0</v>
      </c>
      <c r="DB22" s="70">
        <f t="shared" si="26"/>
        <v>0</v>
      </c>
      <c r="DC22" s="74"/>
      <c r="DD22" s="69"/>
      <c r="DE22" s="75">
        <v>0</v>
      </c>
      <c r="DF22" s="74"/>
      <c r="DG22" s="69">
        <f t="shared" si="27"/>
        <v>0</v>
      </c>
      <c r="DH22" s="76" t="s">
        <v>119</v>
      </c>
      <c r="DI22" s="77" cm="1">
        <f t="array" ref="DI22">IFERROR(
IF($ES22="LisChannel",
(ROUND(((INDEX({174.625;153.888888888889;130.972222222222},MATCH($AI22,{2;3;4}),0))*$AG22*$AI22),2)),0),0)</f>
        <v>0</v>
      </c>
      <c r="DJ22" s="77">
        <f t="shared" si="31"/>
        <v>0</v>
      </c>
      <c r="DK22" s="69" t="s">
        <v>93</v>
      </c>
      <c r="DL22" s="63">
        <v>0</v>
      </c>
      <c r="DM22" s="63">
        <v>0</v>
      </c>
      <c r="DN22" s="63">
        <v>0</v>
      </c>
      <c r="DO22" s="63">
        <v>0</v>
      </c>
      <c r="DP22" s="63">
        <v>0</v>
      </c>
      <c r="DQ22" s="63" cm="1">
        <f t="array" ref="DQ22">IFERROR(_xlfn.IFS(
$DK22="послед.",1-(1-$DL22)*(1-$DM22)*(1-$DN22)*(1-$DO22)*(1-$DP22),
$DK22="сумм.",$DL22+$DM22+$DN22+$DO22+$DP22),
0)</f>
        <v>0</v>
      </c>
      <c r="DR22" s="69" cm="1">
        <f t="array" ref="DR22" xml:space="preserve">
IFERROR(
_xlfn.IFS(
$BL22=0,
0,
$BL22&gt;0,
_xlfn.IFS($DK22="послед.",
$DJ22*(1-$DL22)*(1-$DM22)*(1-$DN22)*(1-$DO22)*(1-$DP22),
$DK22="сумм.",
$DJ22*(1-($DL22+$DM22+$DN22+$DO22+$DP22)))),0)</f>
        <v>0</v>
      </c>
      <c r="DS22" s="69" cm="1">
        <f t="array" ref="DS22" xml:space="preserve">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0</v>
      </c>
      <c r="DT22" s="69" cm="1">
        <f t="array" ref="DT22" xml:space="preserve">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0</v>
      </c>
      <c r="DU22" s="69" cm="1">
        <f t="array" ref="DU22" xml:space="preserve">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0</v>
      </c>
      <c r="DV22" s="69" cm="1">
        <f t="array" ref="DV22" xml:space="preserve">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0</v>
      </c>
      <c r="DW22" s="69" cm="1">
        <f t="array" ref="DW22" xml:space="preserve">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0</v>
      </c>
      <c r="DX22" s="69" cm="1">
        <f t="array" ref="DX22" xml:space="preserve">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0</v>
      </c>
      <c r="DY22" s="69" cm="1">
        <f t="array" ref="DY22" xml:space="preserve">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0</v>
      </c>
      <c r="DZ22" s="69" cm="1">
        <f t="array" ref="DZ22" xml:space="preserve">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0</v>
      </c>
      <c r="EA22" s="69" cm="1">
        <f t="array" ref="EA22" xml:space="preserve">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0</v>
      </c>
      <c r="EB22" s="69" cm="1">
        <f t="array" ref="EB22" xml:space="preserve">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0</v>
      </c>
      <c r="EC22" s="69" cm="1">
        <f t="array" ref="EC22" xml:space="preserve">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0</v>
      </c>
      <c r="ED22" s="69" cm="1">
        <f t="array" ref="ED22" xml:space="preserve">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0</v>
      </c>
      <c r="EE22" s="69">
        <f t="shared" si="32"/>
        <v>0</v>
      </c>
      <c r="EF22" s="69">
        <f t="shared" si="29"/>
        <v>0</v>
      </c>
      <c r="EG22" s="74">
        <v>1</v>
      </c>
      <c r="EH22" s="70">
        <v>0</v>
      </c>
      <c r="EI22" s="70">
        <f t="shared" si="33"/>
        <v>0</v>
      </c>
      <c r="EJ22" s="70">
        <f t="shared" si="34"/>
        <v>0</v>
      </c>
      <c r="EK22" s="70">
        <v>0</v>
      </c>
      <c r="EL22" s="70">
        <f t="shared" si="35"/>
        <v>0</v>
      </c>
      <c r="EM22" s="70">
        <f t="shared" si="36"/>
        <v>0</v>
      </c>
      <c r="EN22" s="70">
        <f t="shared" si="37"/>
        <v>0</v>
      </c>
      <c r="EO22" s="70">
        <f t="shared" si="38"/>
        <v>0</v>
      </c>
      <c r="EP22" s="59"/>
      <c r="EQ22" s="59"/>
      <c r="ER22" s="60" t="str" cm="1">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c r="ET22" s="60" t="str" cm="1">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c r="EV22" s="60"/>
      <c r="EW22" t="s">
        <v>13</v>
      </c>
    </row>
    <row r="23" spans="1:153" x14ac:dyDescent="0.25">
      <c r="A23" s="59"/>
      <c r="B23" s="60"/>
      <c r="C23" s="60"/>
      <c r="D23" s="60" t="str" cm="1">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t="str" cm="1">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s">
        <v>146</v>
      </c>
      <c r="G23" s="60"/>
      <c r="H23" s="60" t="str" cm="1">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n/a</v>
      </c>
      <c r="I23" s="60"/>
      <c r="J23" s="60"/>
      <c r="K23" s="60"/>
      <c r="L23" s="60"/>
      <c r="M23" s="60"/>
      <c r="N23" s="60"/>
      <c r="O23" s="60"/>
      <c r="P23" s="60" t="str" cm="1">
        <f t="array" ref="P23" xml:space="preserve">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c r="R23" s="60" t="str" cm="1">
        <f t="array" ref="R23" xml:space="preserve">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c r="T23" s="60"/>
      <c r="U23" s="60"/>
      <c r="V23" s="60" t="str">
        <f xml:space="preserve">
IF(P23="Видео",
"цифровой постер/ролик",
IF(ISNUMBER(MATCH(Q23,{"короб световой","короб световой | лайтбокс","короб световой | кристалайт","лайтбокс","лайт бокс","кристалайт","LB","lightbox"},)),
"бэклит",
IF(P23="Брендирование/оклейка",
"перфарированная пленка/самоклейка",
IF(P23="Экспонирование",
"под запрос",
IF(P23="Подвес",
"баннер/ткань",
"")))))</f>
        <v/>
      </c>
      <c r="W23" s="59"/>
      <c r="X23" s="59"/>
      <c r="Y23" s="59"/>
      <c r="Z23" s="61"/>
      <c r="AA23" s="61"/>
      <c r="AB23" s="61">
        <f t="shared" ref="AB23:AB26" si="39">IF(BL23&gt;0,Z23,0)</f>
        <v>0</v>
      </c>
      <c r="AC23" s="59"/>
      <c r="AD23" s="59"/>
      <c r="AE23" s="59"/>
      <c r="AF23" s="59"/>
      <c r="AG23" s="59"/>
      <c r="AH23" s="59"/>
      <c r="AI23" s="59"/>
      <c r="AJ23" s="59"/>
      <c r="AK23" s="59"/>
      <c r="AL23" s="62" t="str">
        <f t="shared" ref="AL23:AL26" si="40">IFERROR(IF(OR(R23="статический",R23="динамический",R23="нестандартный",R23="",R23=""),"-",IF(AND(AH23="-",AI23="-"),"-",AK23*3600/AH23*AI23)),"-")</f>
        <v>-</v>
      </c>
      <c r="AM23" s="62" t="str">
        <f t="shared" ref="AM23:AM26" si="41">IFERROR(IF(OR(R23="статический",R23="динамический",R23="",R23="", R23="BTL",R23="нестандартный"),"-",AG23*AI23*AL23/60),"-")</f>
        <v>-</v>
      </c>
      <c r="AN23" s="63" t="str">
        <f t="shared" ref="AN23:AN26" si="42">IFERROR(IF(AH23="","-",AG23*AI23/AH23),"-")</f>
        <v>-</v>
      </c>
      <c r="AO23" s="59" t="str">
        <f t="shared" si="7"/>
        <v>-</v>
      </c>
      <c r="AP23" s="62" t="str">
        <f t="shared" ref="AP23:AP26" si="43">IFERROR(IF(OR($R23="статический",$R23="динамический",$R23="",$R23="",$R23="BTL",$R23="нестандартный"),"-",$AM23*AY23),"-")</f>
        <v>-</v>
      </c>
      <c r="AQ23" s="64"/>
      <c r="AR23" s="61"/>
      <c r="AS23" s="61"/>
      <c r="AT23" s="61"/>
      <c r="AU23" s="65"/>
      <c r="AV23" s="66" t="str">
        <f t="shared" ref="AV23:AV26" si="44">IFERROR(DR23/AT23*1000,"n/a")</f>
        <v>n/a</v>
      </c>
      <c r="AW23" s="67"/>
      <c r="AX23" s="67"/>
      <c r="AY23" s="43" t="str">
        <f t="shared" si="10"/>
        <v/>
      </c>
      <c r="AZ23" s="68" cm="1">
        <f t="array" ref="AZ23" xml:space="preserve">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0</v>
      </c>
      <c r="BA23" s="68" cm="1">
        <f t="array" ref="BA23" xml:space="preserve">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0</v>
      </c>
      <c r="BB23" s="68" cm="1">
        <f t="array" ref="BB23" xml:space="preserve">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0</v>
      </c>
      <c r="BC23" s="68" cm="1">
        <f t="array" ref="BC23" xml:space="preserve">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0</v>
      </c>
      <c r="BD23" s="68" cm="1">
        <f t="array" ref="BD23" xml:space="preserve">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0</v>
      </c>
      <c r="BE23" s="68" cm="1">
        <f t="array" ref="BE23" xml:space="preserve">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0</v>
      </c>
      <c r="BF23" s="68" cm="1">
        <f t="array" ref="BF23" xml:space="preserve">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0</v>
      </c>
      <c r="BG23" s="68" cm="1">
        <f t="array" ref="BG23" xml:space="preserve">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0</v>
      </c>
      <c r="BH23" s="68" cm="1">
        <f t="array" ref="BH23" xml:space="preserve">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0</v>
      </c>
      <c r="BI23" s="68" cm="1">
        <f t="array" ref="BI23" xml:space="preserve">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0</v>
      </c>
      <c r="BJ23" s="68" cm="1">
        <f t="array" ref="BJ23" xml:space="preserve">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0</v>
      </c>
      <c r="BK23" s="68" cm="1">
        <f t="array" ref="BK23" xml:space="preserve">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0</v>
      </c>
      <c r="BL23" s="62">
        <f t="shared" si="11"/>
        <v>0</v>
      </c>
      <c r="BM23" s="65"/>
      <c r="BN23" s="69">
        <f t="shared" si="12"/>
        <v>0</v>
      </c>
      <c r="BO23" s="63">
        <f t="shared" si="13"/>
        <v>0</v>
      </c>
      <c r="BP23" s="69">
        <f t="shared" si="14"/>
        <v>0</v>
      </c>
      <c r="BQ23" s="69" cm="1">
        <f t="array" ref="BQ23" xml:space="preserve">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0</v>
      </c>
      <c r="BR23" s="69" cm="1">
        <f t="array" ref="BR23" xml:space="preserve">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0</v>
      </c>
      <c r="BS23" s="69" cm="1">
        <f t="array" ref="BS23" xml:space="preserve">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0</v>
      </c>
      <c r="BT23" s="69" cm="1">
        <f t="array" ref="BT23" xml:space="preserve">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0</v>
      </c>
      <c r="BU23" s="69" cm="1">
        <f t="array" ref="BU23" xml:space="preserve">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0</v>
      </c>
      <c r="BV23" s="69" cm="1">
        <f t="array" ref="BV23" xml:space="preserve">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0</v>
      </c>
      <c r="BW23" s="69" cm="1">
        <f t="array" ref="BW23" xml:space="preserve">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0</v>
      </c>
      <c r="BX23" s="69" cm="1">
        <f t="array" ref="BX23" xml:space="preserve">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0</v>
      </c>
      <c r="BY23" s="69" cm="1">
        <f t="array" ref="BY23" xml:space="preserve">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0</v>
      </c>
      <c r="BZ23" s="69" cm="1">
        <f t="array" ref="BZ23" xml:space="preserve">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0</v>
      </c>
      <c r="CA23" s="69" cm="1">
        <f t="array" ref="CA23" xml:space="preserve">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0</v>
      </c>
      <c r="CB23" s="69" cm="1">
        <f t="array" ref="CB23" xml:space="preserve">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0</v>
      </c>
      <c r="CC23" s="69">
        <f t="shared" si="15"/>
        <v>0</v>
      </c>
      <c r="CD23" s="70">
        <f t="shared" si="16"/>
        <v>0</v>
      </c>
      <c r="CE23" s="70">
        <f t="shared" si="17"/>
        <v>0</v>
      </c>
      <c r="CF23" s="70">
        <f t="shared" si="18"/>
        <v>0</v>
      </c>
      <c r="CG23" s="70">
        <f t="shared" si="19"/>
        <v>0</v>
      </c>
      <c r="CH23" s="70">
        <f t="shared" si="30"/>
        <v>0</v>
      </c>
      <c r="CI23" s="70">
        <f t="shared" si="20"/>
        <v>0</v>
      </c>
      <c r="CJ23" s="71">
        <v>0</v>
      </c>
      <c r="CK23" s="70">
        <f t="shared" si="21"/>
        <v>0</v>
      </c>
      <c r="CL23" s="70">
        <f t="shared" si="22"/>
        <v>0</v>
      </c>
      <c r="CM23" s="59"/>
      <c r="CN23" s="59"/>
      <c r="CO23" s="72"/>
      <c r="CP23" s="59"/>
      <c r="CQ23" s="73"/>
      <c r="CR23" s="73"/>
      <c r="CS23" s="73"/>
      <c r="CT23" s="72"/>
      <c r="CU23" s="79" t="s">
        <v>13</v>
      </c>
      <c r="CV23" s="60"/>
      <c r="CW23" s="60"/>
      <c r="CX23" s="60"/>
      <c r="CY23" s="71">
        <f t="shared" si="23"/>
        <v>0</v>
      </c>
      <c r="CZ23" s="71">
        <f t="shared" si="24"/>
        <v>0</v>
      </c>
      <c r="DA23" s="71">
        <f t="shared" si="25"/>
        <v>0</v>
      </c>
      <c r="DB23" s="70">
        <f t="shared" si="26"/>
        <v>0</v>
      </c>
      <c r="DC23" s="74"/>
      <c r="DD23" s="69"/>
      <c r="DE23" s="75">
        <v>0</v>
      </c>
      <c r="DF23" s="74"/>
      <c r="DG23" s="69">
        <f t="shared" si="27"/>
        <v>0</v>
      </c>
      <c r="DH23" s="76" t="s">
        <v>119</v>
      </c>
      <c r="DI23" s="77" cm="1">
        <f t="array" ref="DI23">IFERROR(
IF($ES23="LisChannel",
(ROUND(((INDEX({174.625;153.888888888889;130.972222222222},MATCH($AI23,{2;3;4}),0))*$AG23*$AI23),2)),0),0)</f>
        <v>0</v>
      </c>
      <c r="DJ23" s="77">
        <f t="shared" si="31"/>
        <v>0</v>
      </c>
      <c r="DK23" s="69" t="s">
        <v>93</v>
      </c>
      <c r="DL23" s="63">
        <v>0</v>
      </c>
      <c r="DM23" s="63">
        <v>0</v>
      </c>
      <c r="DN23" s="63">
        <v>0</v>
      </c>
      <c r="DO23" s="63">
        <v>0</v>
      </c>
      <c r="DP23" s="63">
        <v>0</v>
      </c>
      <c r="DQ23" s="63" cm="1">
        <f t="array" ref="DQ23">IFERROR(_xlfn.IFS(
$DK23="послед.",1-(1-$DL23)*(1-$DM23)*(1-$DN23)*(1-$DO23)*(1-$DP23),
$DK23="сумм.",$DL23+$DM23+$DN23+$DO23+$DP23),
0)</f>
        <v>0</v>
      </c>
      <c r="DR23" s="69" cm="1">
        <f t="array" ref="DR23" xml:space="preserve">
IFERROR(
_xlfn.IFS(
$BL23=0,
0,
$BL23&gt;0,
_xlfn.IFS($DK23="послед.",
$DJ23*(1-$DL23)*(1-$DM23)*(1-$DN23)*(1-$DO23)*(1-$DP23),
$DK23="сумм.",
$DJ23*(1-($DL23+$DM23+$DN23+$DO23+$DP23)))),0)</f>
        <v>0</v>
      </c>
      <c r="DS23" s="69" cm="1">
        <f t="array" ref="DS23" xml:space="preserve">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0</v>
      </c>
      <c r="DT23" s="69" cm="1">
        <f t="array" ref="DT23" xml:space="preserve">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0</v>
      </c>
      <c r="DU23" s="69" cm="1">
        <f t="array" ref="DU23" xml:space="preserve">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0</v>
      </c>
      <c r="DV23" s="69" cm="1">
        <f t="array" ref="DV23" xml:space="preserve">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0</v>
      </c>
      <c r="DW23" s="69" cm="1">
        <f t="array" ref="DW23" xml:space="preserve">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0</v>
      </c>
      <c r="DX23" s="69" cm="1">
        <f t="array" ref="DX23" xml:space="preserve">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0</v>
      </c>
      <c r="DY23" s="69" cm="1">
        <f t="array" ref="DY23" xml:space="preserve">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0</v>
      </c>
      <c r="DZ23" s="69" cm="1">
        <f t="array" ref="DZ23" xml:space="preserve">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0</v>
      </c>
      <c r="EA23" s="69" cm="1">
        <f t="array" ref="EA23" xml:space="preserve">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0</v>
      </c>
      <c r="EB23" s="69" cm="1">
        <f t="array" ref="EB23" xml:space="preserve">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0</v>
      </c>
      <c r="EC23" s="69" cm="1">
        <f t="array" ref="EC23" xml:space="preserve">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0</v>
      </c>
      <c r="ED23" s="69" cm="1">
        <f t="array" ref="ED23" xml:space="preserve">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0</v>
      </c>
      <c r="EE23" s="69">
        <f t="shared" si="32"/>
        <v>0</v>
      </c>
      <c r="EF23" s="69">
        <f t="shared" si="29"/>
        <v>0</v>
      </c>
      <c r="EG23" s="74">
        <v>1</v>
      </c>
      <c r="EH23" s="70">
        <v>0</v>
      </c>
      <c r="EI23" s="70">
        <f t="shared" si="33"/>
        <v>0</v>
      </c>
      <c r="EJ23" s="70">
        <f t="shared" si="34"/>
        <v>0</v>
      </c>
      <c r="EK23" s="70">
        <v>0</v>
      </c>
      <c r="EL23" s="70">
        <f t="shared" si="35"/>
        <v>0</v>
      </c>
      <c r="EM23" s="70">
        <f t="shared" si="36"/>
        <v>0</v>
      </c>
      <c r="EN23" s="70">
        <f t="shared" si="37"/>
        <v>0</v>
      </c>
      <c r="EO23" s="70">
        <f t="shared" si="38"/>
        <v>0</v>
      </c>
      <c r="EP23" s="59"/>
      <c r="EQ23" s="59"/>
      <c r="ER23" s="60" t="str" cm="1">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c r="ET23" s="60" t="str" cm="1">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c r="EV23" s="60"/>
      <c r="EW23" t="s">
        <v>13</v>
      </c>
    </row>
    <row r="24" spans="1:153" x14ac:dyDescent="0.25">
      <c r="A24" s="59"/>
      <c r="B24" s="60"/>
      <c r="C24" s="60"/>
      <c r="D24" s="60" t="str" cm="1">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t="str" cm="1">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s">
        <v>146</v>
      </c>
      <c r="G24" s="60"/>
      <c r="H24" s="60" t="str" cm="1">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n/a</v>
      </c>
      <c r="I24" s="60"/>
      <c r="J24" s="60"/>
      <c r="K24" s="60"/>
      <c r="L24" s="60"/>
      <c r="M24" s="60"/>
      <c r="N24" s="60"/>
      <c r="O24" s="60"/>
      <c r="P24" s="60" t="str" cm="1">
        <f t="array" ref="P24" xml:space="preserve">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c r="R24" s="60" t="str" cm="1">
        <f t="array" ref="R24" xml:space="preserve">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c r="T24" s="60"/>
      <c r="U24" s="60"/>
      <c r="V24" s="60" t="str">
        <f xml:space="preserve">
IF(P24="Видео",
"цифровой постер/ролик",
IF(ISNUMBER(MATCH(Q24,{"короб световой","короб световой | лайтбокс","короб световой | кристалайт","лайтбокс","лайт бокс","кристалайт","LB","lightbox"},)),
"бэклит",
IF(P24="Брендирование/оклейка",
"перфарированная пленка/самоклейка",
IF(P24="Экспонирование",
"под запрос",
IF(P24="Подвес",
"баннер/ткань",
"")))))</f>
        <v/>
      </c>
      <c r="W24" s="59"/>
      <c r="X24" s="59"/>
      <c r="Y24" s="59"/>
      <c r="Z24" s="61"/>
      <c r="AA24" s="61"/>
      <c r="AB24" s="61">
        <f t="shared" si="39"/>
        <v>0</v>
      </c>
      <c r="AC24" s="59"/>
      <c r="AD24" s="59"/>
      <c r="AE24" s="59"/>
      <c r="AF24" s="59"/>
      <c r="AG24" s="59"/>
      <c r="AH24" s="59"/>
      <c r="AI24" s="59"/>
      <c r="AJ24" s="59"/>
      <c r="AK24" s="59"/>
      <c r="AL24" s="62" t="str">
        <f t="shared" si="40"/>
        <v>-</v>
      </c>
      <c r="AM24" s="62" t="str">
        <f t="shared" si="41"/>
        <v>-</v>
      </c>
      <c r="AN24" s="63" t="str">
        <f t="shared" si="42"/>
        <v>-</v>
      </c>
      <c r="AO24" s="59" t="str">
        <f t="shared" si="7"/>
        <v>-</v>
      </c>
      <c r="AP24" s="62" t="str">
        <f t="shared" si="43"/>
        <v>-</v>
      </c>
      <c r="AQ24" s="64"/>
      <c r="AR24" s="61"/>
      <c r="AS24" s="61"/>
      <c r="AT24" s="61"/>
      <c r="AU24" s="65"/>
      <c r="AV24" s="66" t="str">
        <f t="shared" si="44"/>
        <v>n/a</v>
      </c>
      <c r="AW24" s="67"/>
      <c r="AX24" s="67"/>
      <c r="AY24" s="43" t="str">
        <f t="shared" si="10"/>
        <v/>
      </c>
      <c r="AZ24" s="68" cm="1">
        <f t="array" ref="AZ24" xml:space="preserve">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0</v>
      </c>
      <c r="BA24" s="68" cm="1">
        <f t="array" ref="BA24" xml:space="preserve">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0</v>
      </c>
      <c r="BB24" s="68" cm="1">
        <f t="array" ref="BB24" xml:space="preserve">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0</v>
      </c>
      <c r="BC24" s="68" cm="1">
        <f t="array" ref="BC24" xml:space="preserve">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0</v>
      </c>
      <c r="BD24" s="68" cm="1">
        <f t="array" ref="BD24" xml:space="preserve">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0</v>
      </c>
      <c r="BE24" s="68" cm="1">
        <f t="array" ref="BE24" xml:space="preserve">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0</v>
      </c>
      <c r="BF24" s="68" cm="1">
        <f t="array" ref="BF24" xml:space="preserve">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0</v>
      </c>
      <c r="BG24" s="68" cm="1">
        <f t="array" ref="BG24" xml:space="preserve">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0</v>
      </c>
      <c r="BH24" s="68" cm="1">
        <f t="array" ref="BH24" xml:space="preserve">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0</v>
      </c>
      <c r="BI24" s="68" cm="1">
        <f t="array" ref="BI24" xml:space="preserve">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0</v>
      </c>
      <c r="BJ24" s="68" cm="1">
        <f t="array" ref="BJ24" xml:space="preserve">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0</v>
      </c>
      <c r="BK24" s="68" cm="1">
        <f t="array" ref="BK24" xml:space="preserve">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0</v>
      </c>
      <c r="BL24" s="62">
        <f t="shared" si="11"/>
        <v>0</v>
      </c>
      <c r="BM24" s="65"/>
      <c r="BN24" s="69">
        <f t="shared" si="12"/>
        <v>0</v>
      </c>
      <c r="BO24" s="63">
        <f t="shared" si="13"/>
        <v>0</v>
      </c>
      <c r="BP24" s="69">
        <f t="shared" si="14"/>
        <v>0</v>
      </c>
      <c r="BQ24" s="69" cm="1">
        <f t="array" ref="BQ24" xml:space="preserve">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0</v>
      </c>
      <c r="BR24" s="69" cm="1">
        <f t="array" ref="BR24" xml:space="preserve">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0</v>
      </c>
      <c r="BS24" s="69" cm="1">
        <f t="array" ref="BS24" xml:space="preserve">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0</v>
      </c>
      <c r="BT24" s="69" cm="1">
        <f t="array" ref="BT24" xml:space="preserve">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0</v>
      </c>
      <c r="BU24" s="69" cm="1">
        <f t="array" ref="BU24" xml:space="preserve">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0</v>
      </c>
      <c r="BV24" s="69" cm="1">
        <f t="array" ref="BV24" xml:space="preserve">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0</v>
      </c>
      <c r="BW24" s="69" cm="1">
        <f t="array" ref="BW24" xml:space="preserve">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0</v>
      </c>
      <c r="BX24" s="69" cm="1">
        <f t="array" ref="BX24" xml:space="preserve">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0</v>
      </c>
      <c r="BY24" s="69" cm="1">
        <f t="array" ref="BY24" xml:space="preserve">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0</v>
      </c>
      <c r="BZ24" s="69" cm="1">
        <f t="array" ref="BZ24" xml:space="preserve">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0</v>
      </c>
      <c r="CA24" s="69" cm="1">
        <f t="array" ref="CA24" xml:space="preserve">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0</v>
      </c>
      <c r="CB24" s="69" cm="1">
        <f t="array" ref="CB24" xml:space="preserve">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0</v>
      </c>
      <c r="CC24" s="69">
        <f t="shared" si="15"/>
        <v>0</v>
      </c>
      <c r="CD24" s="70">
        <f t="shared" si="16"/>
        <v>0</v>
      </c>
      <c r="CE24" s="70">
        <f t="shared" si="17"/>
        <v>0</v>
      </c>
      <c r="CF24" s="70">
        <f t="shared" si="18"/>
        <v>0</v>
      </c>
      <c r="CG24" s="70">
        <f t="shared" si="19"/>
        <v>0</v>
      </c>
      <c r="CH24" s="70">
        <f t="shared" si="30"/>
        <v>0</v>
      </c>
      <c r="CI24" s="70">
        <f t="shared" si="20"/>
        <v>0</v>
      </c>
      <c r="CJ24" s="71">
        <v>0</v>
      </c>
      <c r="CK24" s="70">
        <f t="shared" si="21"/>
        <v>0</v>
      </c>
      <c r="CL24" s="70">
        <f t="shared" si="22"/>
        <v>0</v>
      </c>
      <c r="CM24" s="59"/>
      <c r="CN24" s="59"/>
      <c r="CO24" s="72"/>
      <c r="CP24" s="59"/>
      <c r="CQ24" s="73"/>
      <c r="CR24" s="73"/>
      <c r="CS24" s="73"/>
      <c r="CT24" s="72"/>
      <c r="CU24" s="79" t="s">
        <v>13</v>
      </c>
      <c r="CV24" s="60"/>
      <c r="CW24" s="60"/>
      <c r="CX24" s="60"/>
      <c r="CY24" s="71">
        <f t="shared" si="23"/>
        <v>0</v>
      </c>
      <c r="CZ24" s="71">
        <f t="shared" si="24"/>
        <v>0</v>
      </c>
      <c r="DA24" s="71">
        <f t="shared" si="25"/>
        <v>0</v>
      </c>
      <c r="DB24" s="70">
        <f t="shared" si="26"/>
        <v>0</v>
      </c>
      <c r="DC24" s="74"/>
      <c r="DD24" s="69"/>
      <c r="DE24" s="75">
        <v>0</v>
      </c>
      <c r="DF24" s="74"/>
      <c r="DG24" s="69">
        <f t="shared" si="27"/>
        <v>0</v>
      </c>
      <c r="DH24" s="76" t="s">
        <v>119</v>
      </c>
      <c r="DI24" s="77" cm="1">
        <f t="array" ref="DI24">IFERROR(
IF($ES24="LisChannel",
(ROUND(((INDEX({174.625;153.888888888889;130.972222222222},MATCH($AI24,{2;3;4}),0))*$AG24*$AI24),2)),0),0)</f>
        <v>0</v>
      </c>
      <c r="DJ24" s="77">
        <f t="shared" si="31"/>
        <v>0</v>
      </c>
      <c r="DK24" s="69" t="s">
        <v>93</v>
      </c>
      <c r="DL24" s="63">
        <v>0</v>
      </c>
      <c r="DM24" s="63">
        <v>0</v>
      </c>
      <c r="DN24" s="63">
        <v>0</v>
      </c>
      <c r="DO24" s="63">
        <v>0</v>
      </c>
      <c r="DP24" s="63">
        <v>0</v>
      </c>
      <c r="DQ24" s="63" cm="1">
        <f t="array" ref="DQ24">IFERROR(_xlfn.IFS(
$DK24="послед.",1-(1-$DL24)*(1-$DM24)*(1-$DN24)*(1-$DO24)*(1-$DP24),
$DK24="сумм.",$DL24+$DM24+$DN24+$DO24+$DP24),
0)</f>
        <v>0</v>
      </c>
      <c r="DR24" s="69" cm="1">
        <f t="array" ref="DR24" xml:space="preserve">
IFERROR(
_xlfn.IFS(
$BL24=0,
0,
$BL24&gt;0,
_xlfn.IFS($DK24="послед.",
$DJ24*(1-$DL24)*(1-$DM24)*(1-$DN24)*(1-$DO24)*(1-$DP24),
$DK24="сумм.",
$DJ24*(1-($DL24+$DM24+$DN24+$DO24+$DP24)))),0)</f>
        <v>0</v>
      </c>
      <c r="DS24" s="69" cm="1">
        <f t="array" ref="DS24" xml:space="preserve">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0</v>
      </c>
      <c r="DT24" s="69" cm="1">
        <f t="array" ref="DT24" xml:space="preserve">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0</v>
      </c>
      <c r="DU24" s="69" cm="1">
        <f t="array" ref="DU24" xml:space="preserve">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0</v>
      </c>
      <c r="DV24" s="69" cm="1">
        <f t="array" ref="DV24" xml:space="preserve">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0</v>
      </c>
      <c r="DW24" s="69" cm="1">
        <f t="array" ref="DW24" xml:space="preserve">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0</v>
      </c>
      <c r="DX24" s="69" cm="1">
        <f t="array" ref="DX24" xml:space="preserve">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0</v>
      </c>
      <c r="DY24" s="69" cm="1">
        <f t="array" ref="DY24" xml:space="preserve">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0</v>
      </c>
      <c r="DZ24" s="69" cm="1">
        <f t="array" ref="DZ24" xml:space="preserve">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0</v>
      </c>
      <c r="EA24" s="69" cm="1">
        <f t="array" ref="EA24" xml:space="preserve">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0</v>
      </c>
      <c r="EB24" s="69" cm="1">
        <f t="array" ref="EB24" xml:space="preserve">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0</v>
      </c>
      <c r="EC24" s="69" cm="1">
        <f t="array" ref="EC24" xml:space="preserve">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0</v>
      </c>
      <c r="ED24" s="69" cm="1">
        <f t="array" ref="ED24" xml:space="preserve">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0</v>
      </c>
      <c r="EE24" s="69">
        <f t="shared" si="32"/>
        <v>0</v>
      </c>
      <c r="EF24" s="69">
        <f t="shared" si="29"/>
        <v>0</v>
      </c>
      <c r="EG24" s="74">
        <v>1</v>
      </c>
      <c r="EH24" s="70">
        <v>0</v>
      </c>
      <c r="EI24" s="70">
        <f t="shared" si="33"/>
        <v>0</v>
      </c>
      <c r="EJ24" s="70">
        <f t="shared" si="34"/>
        <v>0</v>
      </c>
      <c r="EK24" s="70">
        <v>0</v>
      </c>
      <c r="EL24" s="70">
        <f t="shared" si="35"/>
        <v>0</v>
      </c>
      <c r="EM24" s="70">
        <f t="shared" si="36"/>
        <v>0</v>
      </c>
      <c r="EN24" s="70">
        <f t="shared" si="37"/>
        <v>0</v>
      </c>
      <c r="EO24" s="70">
        <f t="shared" si="38"/>
        <v>0</v>
      </c>
      <c r="EP24" s="59"/>
      <c r="EQ24" s="59"/>
      <c r="ER24" s="60" t="str" cm="1">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c r="ET24" s="60" t="str" cm="1">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c r="EV24" s="60"/>
      <c r="EW24" t="s">
        <v>13</v>
      </c>
    </row>
    <row r="25" spans="1:153" x14ac:dyDescent="0.25">
      <c r="A25" s="59"/>
      <c r="B25" s="60"/>
      <c r="C25" s="60"/>
      <c r="D25" s="60" t="str" cm="1">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t="str" cm="1">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s">
        <v>146</v>
      </c>
      <c r="G25" s="60"/>
      <c r="H25" s="60" t="str" cm="1">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n/a</v>
      </c>
      <c r="I25" s="60"/>
      <c r="J25" s="60"/>
      <c r="K25" s="60"/>
      <c r="L25" s="60"/>
      <c r="M25" s="60"/>
      <c r="N25" s="60"/>
      <c r="O25" s="60"/>
      <c r="P25" s="60" t="str" cm="1">
        <f t="array" ref="P25" xml:space="preserve">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c r="R25" s="60" t="str" cm="1">
        <f t="array" ref="R25" xml:space="preserve">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c r="T25" s="60"/>
      <c r="U25" s="60"/>
      <c r="V25" s="60" t="str">
        <f xml:space="preserve">
IF(P25="Видео",
"цифровой постер/ролик",
IF(ISNUMBER(MATCH(Q25,{"короб световой","короб световой | лайтбокс","короб световой | кристалайт","лайтбокс","лайт бокс","кристалайт","LB","lightbox"},)),
"бэклит",
IF(P25="Брендирование/оклейка",
"перфарированная пленка/самоклейка",
IF(P25="Экспонирование",
"под запрос",
IF(P25="Подвес",
"баннер/ткань",
"")))))</f>
        <v/>
      </c>
      <c r="W25" s="59"/>
      <c r="X25" s="59"/>
      <c r="Y25" s="59"/>
      <c r="Z25" s="61"/>
      <c r="AA25" s="61"/>
      <c r="AB25" s="61">
        <f t="shared" si="39"/>
        <v>0</v>
      </c>
      <c r="AC25" s="59"/>
      <c r="AD25" s="59"/>
      <c r="AE25" s="59"/>
      <c r="AF25" s="59"/>
      <c r="AG25" s="59"/>
      <c r="AH25" s="59"/>
      <c r="AI25" s="59"/>
      <c r="AJ25" s="59"/>
      <c r="AK25" s="59"/>
      <c r="AL25" s="62" t="str">
        <f t="shared" si="40"/>
        <v>-</v>
      </c>
      <c r="AM25" s="62" t="str">
        <f t="shared" si="41"/>
        <v>-</v>
      </c>
      <c r="AN25" s="63" t="str">
        <f t="shared" si="42"/>
        <v>-</v>
      </c>
      <c r="AO25" s="59" t="str">
        <f t="shared" si="7"/>
        <v>-</v>
      </c>
      <c r="AP25" s="62" t="str">
        <f t="shared" si="43"/>
        <v>-</v>
      </c>
      <c r="AQ25" s="64"/>
      <c r="AR25" s="61"/>
      <c r="AS25" s="61"/>
      <c r="AT25" s="61"/>
      <c r="AU25" s="65"/>
      <c r="AV25" s="66" t="str">
        <f t="shared" si="44"/>
        <v>n/a</v>
      </c>
      <c r="AW25" s="67"/>
      <c r="AX25" s="67"/>
      <c r="AY25" s="43" t="str">
        <f t="shared" si="10"/>
        <v/>
      </c>
      <c r="AZ25" s="68" cm="1">
        <f t="array" ref="AZ25" xml:space="preserve">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0</v>
      </c>
      <c r="BA25" s="68" cm="1">
        <f t="array" ref="BA25" xml:space="preserve">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0</v>
      </c>
      <c r="BB25" s="68" cm="1">
        <f t="array" ref="BB25" xml:space="preserve">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0</v>
      </c>
      <c r="BC25" s="68" cm="1">
        <f t="array" ref="BC25" xml:space="preserve">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0</v>
      </c>
      <c r="BD25" s="68" cm="1">
        <f t="array" ref="BD25" xml:space="preserve">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0</v>
      </c>
      <c r="BE25" s="68" cm="1">
        <f t="array" ref="BE25" xml:space="preserve">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0</v>
      </c>
      <c r="BF25" s="68" cm="1">
        <f t="array" ref="BF25" xml:space="preserve">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0</v>
      </c>
      <c r="BG25" s="68" cm="1">
        <f t="array" ref="BG25" xml:space="preserve">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0</v>
      </c>
      <c r="BH25" s="68" cm="1">
        <f t="array" ref="BH25" xml:space="preserve">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0</v>
      </c>
      <c r="BI25" s="68" cm="1">
        <f t="array" ref="BI25" xml:space="preserve">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0</v>
      </c>
      <c r="BJ25" s="68" cm="1">
        <f t="array" ref="BJ25" xml:space="preserve">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0</v>
      </c>
      <c r="BK25" s="68" cm="1">
        <f t="array" ref="BK25" xml:space="preserve">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0</v>
      </c>
      <c r="BL25" s="62">
        <f t="shared" si="11"/>
        <v>0</v>
      </c>
      <c r="BM25" s="65"/>
      <c r="BN25" s="69">
        <f t="shared" si="12"/>
        <v>0</v>
      </c>
      <c r="BO25" s="63">
        <f t="shared" si="13"/>
        <v>0</v>
      </c>
      <c r="BP25" s="69">
        <f t="shared" si="14"/>
        <v>0</v>
      </c>
      <c r="BQ25" s="69" cm="1">
        <f t="array" ref="BQ25" xml:space="preserve">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0</v>
      </c>
      <c r="BR25" s="69" cm="1">
        <f t="array" ref="BR25" xml:space="preserve">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0</v>
      </c>
      <c r="BS25" s="69" cm="1">
        <f t="array" ref="BS25" xml:space="preserve">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0</v>
      </c>
      <c r="BT25" s="69" cm="1">
        <f t="array" ref="BT25" xml:space="preserve">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0</v>
      </c>
      <c r="BU25" s="69" cm="1">
        <f t="array" ref="BU25" xml:space="preserve">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0</v>
      </c>
      <c r="BV25" s="69" cm="1">
        <f t="array" ref="BV25" xml:space="preserve">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0</v>
      </c>
      <c r="BW25" s="69" cm="1">
        <f t="array" ref="BW25" xml:space="preserve">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0</v>
      </c>
      <c r="BX25" s="69" cm="1">
        <f t="array" ref="BX25" xml:space="preserve">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0</v>
      </c>
      <c r="BY25" s="69" cm="1">
        <f t="array" ref="BY25" xml:space="preserve">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0</v>
      </c>
      <c r="BZ25" s="69" cm="1">
        <f t="array" ref="BZ25" xml:space="preserve">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0</v>
      </c>
      <c r="CA25" s="69" cm="1">
        <f t="array" ref="CA25" xml:space="preserve">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0</v>
      </c>
      <c r="CB25" s="69" cm="1">
        <f t="array" ref="CB25" xml:space="preserve">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0</v>
      </c>
      <c r="CC25" s="69">
        <f t="shared" si="15"/>
        <v>0</v>
      </c>
      <c r="CD25" s="70">
        <f t="shared" si="16"/>
        <v>0</v>
      </c>
      <c r="CE25" s="70">
        <f t="shared" si="17"/>
        <v>0</v>
      </c>
      <c r="CF25" s="70">
        <f t="shared" si="18"/>
        <v>0</v>
      </c>
      <c r="CG25" s="70">
        <f t="shared" si="19"/>
        <v>0</v>
      </c>
      <c r="CH25" s="70">
        <f t="shared" si="30"/>
        <v>0</v>
      </c>
      <c r="CI25" s="70">
        <f t="shared" si="20"/>
        <v>0</v>
      </c>
      <c r="CJ25" s="71">
        <v>0</v>
      </c>
      <c r="CK25" s="70">
        <f t="shared" si="21"/>
        <v>0</v>
      </c>
      <c r="CL25" s="70">
        <f t="shared" si="22"/>
        <v>0</v>
      </c>
      <c r="CM25" s="59"/>
      <c r="CN25" s="59"/>
      <c r="CO25" s="72"/>
      <c r="CP25" s="59"/>
      <c r="CQ25" s="73"/>
      <c r="CR25" s="73"/>
      <c r="CS25" s="73"/>
      <c r="CT25" s="72"/>
      <c r="CU25" s="79" t="s">
        <v>13</v>
      </c>
      <c r="CV25" s="60"/>
      <c r="CW25" s="60"/>
      <c r="CX25" s="60"/>
      <c r="CY25" s="71">
        <f t="shared" si="23"/>
        <v>0</v>
      </c>
      <c r="CZ25" s="71">
        <f t="shared" si="24"/>
        <v>0</v>
      </c>
      <c r="DA25" s="71">
        <f t="shared" si="25"/>
        <v>0</v>
      </c>
      <c r="DB25" s="70">
        <f t="shared" si="26"/>
        <v>0</v>
      </c>
      <c r="DC25" s="74"/>
      <c r="DD25" s="69"/>
      <c r="DE25" s="75">
        <v>0</v>
      </c>
      <c r="DF25" s="74"/>
      <c r="DG25" s="69">
        <f t="shared" si="27"/>
        <v>0</v>
      </c>
      <c r="DH25" s="76" t="s">
        <v>119</v>
      </c>
      <c r="DI25" s="77" cm="1">
        <f t="array" ref="DI25">IFERROR(
IF($ES25="LisChannel",
(ROUND(((INDEX({174.625;153.888888888889;130.972222222222},MATCH($AI25,{2;3;4}),0))*$AG25*$AI25),2)),0),0)</f>
        <v>0</v>
      </c>
      <c r="DJ25" s="77">
        <f t="shared" si="31"/>
        <v>0</v>
      </c>
      <c r="DK25" s="69" t="s">
        <v>93</v>
      </c>
      <c r="DL25" s="63">
        <v>0</v>
      </c>
      <c r="DM25" s="63">
        <v>0</v>
      </c>
      <c r="DN25" s="63">
        <v>0</v>
      </c>
      <c r="DO25" s="63">
        <v>0</v>
      </c>
      <c r="DP25" s="63">
        <v>0</v>
      </c>
      <c r="DQ25" s="63" cm="1">
        <f t="array" ref="DQ25">IFERROR(_xlfn.IFS(
$DK25="послед.",1-(1-$DL25)*(1-$DM25)*(1-$DN25)*(1-$DO25)*(1-$DP25),
$DK25="сумм.",$DL25+$DM25+$DN25+$DO25+$DP25),
0)</f>
        <v>0</v>
      </c>
      <c r="DR25" s="69" cm="1">
        <f t="array" ref="DR25" xml:space="preserve">
IFERROR(
_xlfn.IFS(
$BL25=0,
0,
$BL25&gt;0,
_xlfn.IFS($DK25="послед.",
$DJ25*(1-$DL25)*(1-$DM25)*(1-$DN25)*(1-$DO25)*(1-$DP25),
$DK25="сумм.",
$DJ25*(1-($DL25+$DM25+$DN25+$DO25+$DP25)))),0)</f>
        <v>0</v>
      </c>
      <c r="DS25" s="69" cm="1">
        <f t="array" ref="DS25" xml:space="preserve">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0</v>
      </c>
      <c r="DT25" s="69" cm="1">
        <f t="array" ref="DT25" xml:space="preserve">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0</v>
      </c>
      <c r="DU25" s="69" cm="1">
        <f t="array" ref="DU25" xml:space="preserve">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0</v>
      </c>
      <c r="DV25" s="69" cm="1">
        <f t="array" ref="DV25" xml:space="preserve">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0</v>
      </c>
      <c r="DW25" s="69" cm="1">
        <f t="array" ref="DW25" xml:space="preserve">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0</v>
      </c>
      <c r="DX25" s="69" cm="1">
        <f t="array" ref="DX25" xml:space="preserve">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0</v>
      </c>
      <c r="DY25" s="69" cm="1">
        <f t="array" ref="DY25" xml:space="preserve">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0</v>
      </c>
      <c r="DZ25" s="69" cm="1">
        <f t="array" ref="DZ25" xml:space="preserve">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0</v>
      </c>
      <c r="EA25" s="69" cm="1">
        <f t="array" ref="EA25" xml:space="preserve">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0</v>
      </c>
      <c r="EB25" s="69" cm="1">
        <f t="array" ref="EB25" xml:space="preserve">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0</v>
      </c>
      <c r="EC25" s="69" cm="1">
        <f t="array" ref="EC25" xml:space="preserve">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0</v>
      </c>
      <c r="ED25" s="69" cm="1">
        <f t="array" ref="ED25" xml:space="preserve">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0</v>
      </c>
      <c r="EE25" s="69">
        <f t="shared" si="32"/>
        <v>0</v>
      </c>
      <c r="EF25" s="69">
        <f t="shared" si="29"/>
        <v>0</v>
      </c>
      <c r="EG25" s="74">
        <v>1</v>
      </c>
      <c r="EH25" s="70">
        <v>0</v>
      </c>
      <c r="EI25" s="70">
        <f t="shared" si="33"/>
        <v>0</v>
      </c>
      <c r="EJ25" s="70">
        <f t="shared" si="34"/>
        <v>0</v>
      </c>
      <c r="EK25" s="70">
        <v>0</v>
      </c>
      <c r="EL25" s="70">
        <f t="shared" si="35"/>
        <v>0</v>
      </c>
      <c r="EM25" s="70">
        <f t="shared" si="36"/>
        <v>0</v>
      </c>
      <c r="EN25" s="70">
        <f t="shared" si="37"/>
        <v>0</v>
      </c>
      <c r="EO25" s="70">
        <f t="shared" si="38"/>
        <v>0</v>
      </c>
      <c r="EP25" s="59"/>
      <c r="EQ25" s="59"/>
      <c r="ER25" s="60" t="str" cm="1">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c r="ET25" s="60" t="str" cm="1">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c r="EV25" s="60"/>
      <c r="EW25" t="s">
        <v>13</v>
      </c>
    </row>
    <row r="26" spans="1:153" x14ac:dyDescent="0.25">
      <c r="A26" s="59"/>
      <c r="B26" s="60"/>
      <c r="C26" s="60"/>
      <c r="D26" s="60" t="str" cm="1">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t="str" cm="1">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s">
        <v>146</v>
      </c>
      <c r="G26" s="60"/>
      <c r="H26" s="60" t="str" cm="1">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n/a</v>
      </c>
      <c r="I26" s="60"/>
      <c r="J26" s="60"/>
      <c r="K26" s="60"/>
      <c r="L26" s="60"/>
      <c r="M26" s="60"/>
      <c r="N26" s="60"/>
      <c r="O26" s="60"/>
      <c r="P26" s="60" t="str" cm="1">
        <f t="array" ref="P26" xml:space="preserve">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c r="R26" s="60" t="str" cm="1">
        <f t="array" ref="R26" xml:space="preserve">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c r="T26" s="60"/>
      <c r="U26" s="60"/>
      <c r="V26" s="60" t="str">
        <f xml:space="preserve">
IF(P26="Видео",
"цифровой постер/ролик",
IF(ISNUMBER(MATCH(Q26,{"короб световой","короб световой | лайтбокс","короб световой | кристалайт","лайтбокс","лайт бокс","кристалайт","LB","lightbox"},)),
"бэклит",
IF(P26="Брендирование/оклейка",
"перфарированная пленка/самоклейка",
IF(P26="Экспонирование",
"под запрос",
IF(P26="Подвес",
"баннер/ткань",
"")))))</f>
        <v/>
      </c>
      <c r="W26" s="59"/>
      <c r="X26" s="59"/>
      <c r="Y26" s="59"/>
      <c r="Z26" s="61"/>
      <c r="AA26" s="61"/>
      <c r="AB26" s="61">
        <f t="shared" si="39"/>
        <v>0</v>
      </c>
      <c r="AC26" s="59"/>
      <c r="AD26" s="59"/>
      <c r="AE26" s="59"/>
      <c r="AF26" s="59"/>
      <c r="AG26" s="59"/>
      <c r="AH26" s="59"/>
      <c r="AI26" s="59"/>
      <c r="AJ26" s="59"/>
      <c r="AK26" s="59"/>
      <c r="AL26" s="62" t="str">
        <f t="shared" si="40"/>
        <v>-</v>
      </c>
      <c r="AM26" s="62" t="str">
        <f t="shared" si="41"/>
        <v>-</v>
      </c>
      <c r="AN26" s="63" t="str">
        <f t="shared" si="42"/>
        <v>-</v>
      </c>
      <c r="AO26" s="59" t="str">
        <f t="shared" si="7"/>
        <v>-</v>
      </c>
      <c r="AP26" s="62" t="str">
        <f t="shared" si="43"/>
        <v>-</v>
      </c>
      <c r="AQ26" s="64"/>
      <c r="AR26" s="61"/>
      <c r="AS26" s="61"/>
      <c r="AT26" s="61"/>
      <c r="AU26" s="65"/>
      <c r="AV26" s="66" t="str">
        <f t="shared" si="44"/>
        <v>n/a</v>
      </c>
      <c r="AW26" s="67"/>
      <c r="AX26" s="67"/>
      <c r="AY26" s="43" t="str">
        <f t="shared" si="10"/>
        <v/>
      </c>
      <c r="AZ26" s="68" cm="1">
        <f t="array" ref="AZ26" xml:space="preserve">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0</v>
      </c>
      <c r="BA26" s="68" cm="1">
        <f t="array" ref="BA26" xml:space="preserve">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0</v>
      </c>
      <c r="BB26" s="68" cm="1">
        <f t="array" ref="BB26" xml:space="preserve">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0</v>
      </c>
      <c r="BC26" s="68" cm="1">
        <f t="array" ref="BC26" xml:space="preserve">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0</v>
      </c>
      <c r="BD26" s="68" cm="1">
        <f t="array" ref="BD26" xml:space="preserve">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0</v>
      </c>
      <c r="BE26" s="68" cm="1">
        <f t="array" ref="BE26" xml:space="preserve">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0</v>
      </c>
      <c r="BF26" s="68" cm="1">
        <f t="array" ref="BF26" xml:space="preserve">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0</v>
      </c>
      <c r="BG26" s="68" cm="1">
        <f t="array" ref="BG26" xml:space="preserve">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0</v>
      </c>
      <c r="BH26" s="68" cm="1">
        <f t="array" ref="BH26" xml:space="preserve">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0</v>
      </c>
      <c r="BI26" s="68" cm="1">
        <f t="array" ref="BI26" xml:space="preserve">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0</v>
      </c>
      <c r="BJ26" s="68" cm="1">
        <f t="array" ref="BJ26" xml:space="preserve">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0</v>
      </c>
      <c r="BK26" s="68" cm="1">
        <f t="array" ref="BK26" xml:space="preserve">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0</v>
      </c>
      <c r="BL26" s="62">
        <f t="shared" si="11"/>
        <v>0</v>
      </c>
      <c r="BM26" s="65"/>
      <c r="BN26" s="69">
        <f t="shared" si="12"/>
        <v>0</v>
      </c>
      <c r="BO26" s="63">
        <f t="shared" si="13"/>
        <v>0</v>
      </c>
      <c r="BP26" s="69">
        <f t="shared" si="14"/>
        <v>0</v>
      </c>
      <c r="BQ26" s="69" cm="1">
        <f t="array" ref="BQ26" xml:space="preserve">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0</v>
      </c>
      <c r="BR26" s="69" cm="1">
        <f t="array" ref="BR26" xml:space="preserve">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0</v>
      </c>
      <c r="BS26" s="69" cm="1">
        <f t="array" ref="BS26" xml:space="preserve">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0</v>
      </c>
      <c r="BT26" s="69" cm="1">
        <f t="array" ref="BT26" xml:space="preserve">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0</v>
      </c>
      <c r="BU26" s="69" cm="1">
        <f t="array" ref="BU26" xml:space="preserve">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0</v>
      </c>
      <c r="BV26" s="69" cm="1">
        <f t="array" ref="BV26" xml:space="preserve">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0</v>
      </c>
      <c r="BW26" s="69" cm="1">
        <f t="array" ref="BW26" xml:space="preserve">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0</v>
      </c>
      <c r="BX26" s="69" cm="1">
        <f t="array" ref="BX26" xml:space="preserve">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0</v>
      </c>
      <c r="BY26" s="69" cm="1">
        <f t="array" ref="BY26" xml:space="preserve">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0</v>
      </c>
      <c r="BZ26" s="69" cm="1">
        <f t="array" ref="BZ26" xml:space="preserve">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0</v>
      </c>
      <c r="CA26" s="69" cm="1">
        <f t="array" ref="CA26" xml:space="preserve">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0</v>
      </c>
      <c r="CB26" s="69" cm="1">
        <f t="array" ref="CB26" xml:space="preserve">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0</v>
      </c>
      <c r="CC26" s="69">
        <f t="shared" si="15"/>
        <v>0</v>
      </c>
      <c r="CD26" s="70">
        <f t="shared" si="16"/>
        <v>0</v>
      </c>
      <c r="CE26" s="70">
        <f t="shared" si="17"/>
        <v>0</v>
      </c>
      <c r="CF26" s="70">
        <f t="shared" si="18"/>
        <v>0</v>
      </c>
      <c r="CG26" s="70">
        <f t="shared" si="19"/>
        <v>0</v>
      </c>
      <c r="CH26" s="70">
        <f t="shared" si="30"/>
        <v>0</v>
      </c>
      <c r="CI26" s="70">
        <f t="shared" si="20"/>
        <v>0</v>
      </c>
      <c r="CJ26" s="71">
        <v>0</v>
      </c>
      <c r="CK26" s="70">
        <f t="shared" si="21"/>
        <v>0</v>
      </c>
      <c r="CL26" s="70">
        <f t="shared" si="22"/>
        <v>0</v>
      </c>
      <c r="CM26" s="59"/>
      <c r="CN26" s="59"/>
      <c r="CO26" s="72"/>
      <c r="CP26" s="59"/>
      <c r="CQ26" s="73"/>
      <c r="CR26" s="73"/>
      <c r="CS26" s="73"/>
      <c r="CT26" s="72"/>
      <c r="CU26" s="79" t="s">
        <v>13</v>
      </c>
      <c r="CV26" s="60"/>
      <c r="CW26" s="60"/>
      <c r="CX26" s="60"/>
      <c r="CY26" s="71">
        <f t="shared" si="23"/>
        <v>0</v>
      </c>
      <c r="CZ26" s="71">
        <f t="shared" si="24"/>
        <v>0</v>
      </c>
      <c r="DA26" s="71">
        <f t="shared" si="25"/>
        <v>0</v>
      </c>
      <c r="DB26" s="70">
        <f t="shared" si="26"/>
        <v>0</v>
      </c>
      <c r="DC26" s="74"/>
      <c r="DD26" s="69"/>
      <c r="DE26" s="75">
        <v>0</v>
      </c>
      <c r="DF26" s="74"/>
      <c r="DG26" s="69">
        <f t="shared" si="27"/>
        <v>0</v>
      </c>
      <c r="DH26" s="76" t="s">
        <v>119</v>
      </c>
      <c r="DI26" s="77" cm="1">
        <f t="array" ref="DI26">IFERROR(
IF($ES26="LisChannel",
(ROUND(((INDEX({174.625;153.888888888889;130.972222222222},MATCH($AI26,{2;3;4}),0))*$AG26*$AI26),2)),0),0)</f>
        <v>0</v>
      </c>
      <c r="DJ26" s="77">
        <f t="shared" si="31"/>
        <v>0</v>
      </c>
      <c r="DK26" s="69" t="s">
        <v>93</v>
      </c>
      <c r="DL26" s="63">
        <v>0</v>
      </c>
      <c r="DM26" s="63">
        <v>0</v>
      </c>
      <c r="DN26" s="63">
        <v>0</v>
      </c>
      <c r="DO26" s="63">
        <v>0</v>
      </c>
      <c r="DP26" s="63">
        <v>0</v>
      </c>
      <c r="DQ26" s="63" cm="1">
        <f t="array" ref="DQ26">IFERROR(_xlfn.IFS(
$DK26="послед.",1-(1-$DL26)*(1-$DM26)*(1-$DN26)*(1-$DO26)*(1-$DP26),
$DK26="сумм.",$DL26+$DM26+$DN26+$DO26+$DP26),
0)</f>
        <v>0</v>
      </c>
      <c r="DR26" s="69" cm="1">
        <f t="array" ref="DR26" xml:space="preserve">
IFERROR(
_xlfn.IFS(
$BL26=0,
0,
$BL26&gt;0,
_xlfn.IFS($DK26="послед.",
$DJ26*(1-$DL26)*(1-$DM26)*(1-$DN26)*(1-$DO26)*(1-$DP26),
$DK26="сумм.",
$DJ26*(1-($DL26+$DM26+$DN26+$DO26+$DP26)))),0)</f>
        <v>0</v>
      </c>
      <c r="DS26" s="69" cm="1">
        <f t="array" ref="DS26" xml:space="preserve">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0</v>
      </c>
      <c r="DT26" s="69" cm="1">
        <f t="array" ref="DT26" xml:space="preserve">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0</v>
      </c>
      <c r="DU26" s="69" cm="1">
        <f t="array" ref="DU26" xml:space="preserve">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0</v>
      </c>
      <c r="DV26" s="69" cm="1">
        <f t="array" ref="DV26" xml:space="preserve">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0</v>
      </c>
      <c r="DW26" s="69" cm="1">
        <f t="array" ref="DW26" xml:space="preserve">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0</v>
      </c>
      <c r="DX26" s="69" cm="1">
        <f t="array" ref="DX26" xml:space="preserve">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0</v>
      </c>
      <c r="DY26" s="69" cm="1">
        <f t="array" ref="DY26" xml:space="preserve">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0</v>
      </c>
      <c r="DZ26" s="69" cm="1">
        <f t="array" ref="DZ26" xml:space="preserve">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0</v>
      </c>
      <c r="EA26" s="69" cm="1">
        <f t="array" ref="EA26" xml:space="preserve">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0</v>
      </c>
      <c r="EB26" s="69" cm="1">
        <f t="array" ref="EB26" xml:space="preserve">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0</v>
      </c>
      <c r="EC26" s="69" cm="1">
        <f t="array" ref="EC26" xml:space="preserve">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0</v>
      </c>
      <c r="ED26" s="69" cm="1">
        <f t="array" ref="ED26" xml:space="preserve">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0</v>
      </c>
      <c r="EE26" s="69">
        <f t="shared" si="32"/>
        <v>0</v>
      </c>
      <c r="EF26" s="69">
        <f t="shared" si="29"/>
        <v>0</v>
      </c>
      <c r="EG26" s="74">
        <v>1</v>
      </c>
      <c r="EH26" s="70">
        <v>0</v>
      </c>
      <c r="EI26" s="70">
        <f t="shared" si="33"/>
        <v>0</v>
      </c>
      <c r="EJ26" s="70">
        <f t="shared" si="34"/>
        <v>0</v>
      </c>
      <c r="EK26" s="70">
        <v>0</v>
      </c>
      <c r="EL26" s="70">
        <f t="shared" si="35"/>
        <v>0</v>
      </c>
      <c r="EM26" s="70">
        <f t="shared" si="36"/>
        <v>0</v>
      </c>
      <c r="EN26" s="70">
        <f t="shared" si="37"/>
        <v>0</v>
      </c>
      <c r="EO26" s="70">
        <f t="shared" si="38"/>
        <v>0</v>
      </c>
      <c r="EP26" s="59"/>
      <c r="EQ26" s="59"/>
      <c r="ER26" s="60" t="str" cm="1">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c r="ET26" s="60" t="str" cm="1">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c r="EV26" s="60"/>
      <c r="EW26" t="s">
        <v>13</v>
      </c>
    </row>
    <row r="27" spans="1:153" x14ac:dyDescent="0.25">
      <c r="A27" s="59"/>
      <c r="B27" s="60"/>
      <c r="C27" s="60"/>
      <c r="D27" s="60" t="str" cm="1">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t="str" cm="1">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s">
        <v>146</v>
      </c>
      <c r="G27" s="60"/>
      <c r="H27" s="60" t="str" cm="1">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n/a</v>
      </c>
      <c r="I27" s="60"/>
      <c r="J27" s="60"/>
      <c r="K27" s="60"/>
      <c r="L27" s="60"/>
      <c r="M27" s="60"/>
      <c r="N27" s="60"/>
      <c r="O27" s="60"/>
      <c r="P27" s="60" t="str" cm="1">
        <f t="array" ref="P27" xml:space="preserve">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c r="R27" s="60" t="str" cm="1">
        <f t="array" ref="R27" xml:space="preserve">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c r="T27" s="60"/>
      <c r="U27" s="60"/>
      <c r="V27" s="60" t="str">
        <f xml:space="preserve">
IF(P27="Видео",
"цифровой постер/ролик",
IF(ISNUMBER(MATCH(Q27,{"короб световой","короб световой | лайтбокс","короб световой | кристалайт","лайтбокс","лайт бокс","кристалайт","LB","lightbox"},)),
"бэклит",
IF(P27="Брендирование/оклейка",
"перфарированная пленка/самоклейка",
IF(P27="Экспонирование",
"под запрос",
IF(P27="Подвес",
"баннер/ткань",
"")))))</f>
        <v/>
      </c>
      <c r="W27" s="59"/>
      <c r="X27" s="59"/>
      <c r="Y27" s="59"/>
      <c r="Z27" s="61"/>
      <c r="AA27" s="61"/>
      <c r="AB27" s="61">
        <f t="shared" ref="AB27" si="45">IF(BL27&gt;0,Z27,0)</f>
        <v>0</v>
      </c>
      <c r="AC27" s="59"/>
      <c r="AD27" s="59"/>
      <c r="AE27" s="59"/>
      <c r="AF27" s="59"/>
      <c r="AG27" s="59"/>
      <c r="AH27" s="59"/>
      <c r="AI27" s="59"/>
      <c r="AJ27" s="59"/>
      <c r="AK27" s="59"/>
      <c r="AL27" s="62" t="str">
        <f t="shared" ref="AL27" si="46">IFERROR(IF(OR(R27="статический",R27="динамический",R27="нестандартный",R27="",R27=""),"-",IF(AND(AH27="-",AI27="-"),"-",AK27*3600/AH27*AI27)),"-")</f>
        <v>-</v>
      </c>
      <c r="AM27" s="62" t="str">
        <f t="shared" ref="AM27" si="47">IFERROR(IF(OR(R27="статический",R27="динамический",R27="",R27="", R27="BTL",R27="нестандартный"),"-",AG27*AI27*AL27/60),"-")</f>
        <v>-</v>
      </c>
      <c r="AN27" s="63" t="str">
        <f t="shared" ref="AN27" si="48">IFERROR(IF(AH27="","-",AG27*AI27/AH27),"-")</f>
        <v>-</v>
      </c>
      <c r="AO27" s="59" t="str">
        <f t="shared" si="7"/>
        <v>-</v>
      </c>
      <c r="AP27" s="62" t="str">
        <f t="shared" ref="AP27" si="49">IFERROR(IF(OR($R27="статический",$R27="динамический",$R27="",$R27="",$R27="BTL",$R27="нестандартный"),"-",$AM27*AY27),"-")</f>
        <v>-</v>
      </c>
      <c r="AQ27" s="64"/>
      <c r="AR27" s="61"/>
      <c r="AS27" s="61"/>
      <c r="AT27" s="61"/>
      <c r="AU27" s="65"/>
      <c r="AV27" s="66" t="str">
        <f t="shared" ref="AV27" si="50">IFERROR(DR27/AT27*1000,"n/a")</f>
        <v>n/a</v>
      </c>
      <c r="AW27" s="67"/>
      <c r="AX27" s="67"/>
      <c r="AY27" s="43" t="str">
        <f t="shared" si="10"/>
        <v/>
      </c>
      <c r="AZ27" s="68" cm="1">
        <f t="array" ref="AZ27" xml:space="preserve">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0</v>
      </c>
      <c r="BA27" s="68" cm="1">
        <f t="array" ref="BA27" xml:space="preserve">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0</v>
      </c>
      <c r="BB27" s="68" cm="1">
        <f t="array" ref="BB27" xml:space="preserve">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0</v>
      </c>
      <c r="BC27" s="68" cm="1">
        <f t="array" ref="BC27" xml:space="preserve">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0</v>
      </c>
      <c r="BD27" s="68" cm="1">
        <f t="array" ref="BD27" xml:space="preserve">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0</v>
      </c>
      <c r="BE27" s="68" cm="1">
        <f t="array" ref="BE27" xml:space="preserve">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0</v>
      </c>
      <c r="BF27" s="68" cm="1">
        <f t="array" ref="BF27" xml:space="preserve">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0</v>
      </c>
      <c r="BG27" s="68" cm="1">
        <f t="array" ref="BG27" xml:space="preserve">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0</v>
      </c>
      <c r="BH27" s="68" cm="1">
        <f t="array" ref="BH27" xml:space="preserve">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0</v>
      </c>
      <c r="BI27" s="68" cm="1">
        <f t="array" ref="BI27" xml:space="preserve">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0</v>
      </c>
      <c r="BJ27" s="68" cm="1">
        <f t="array" ref="BJ27" xml:space="preserve">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0</v>
      </c>
      <c r="BK27" s="68" cm="1">
        <f t="array" ref="BK27" xml:space="preserve">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0</v>
      </c>
      <c r="BL27" s="62">
        <f t="shared" ref="BL27" si="51">COUNTIFS($AZ27:$BK27,"&gt;0")</f>
        <v>0</v>
      </c>
      <c r="BM27" s="65"/>
      <c r="BN27" s="69">
        <f t="shared" si="12"/>
        <v>0</v>
      </c>
      <c r="BO27" s="63">
        <f t="shared" si="13"/>
        <v>0</v>
      </c>
      <c r="BP27" s="69">
        <f t="shared" si="14"/>
        <v>0</v>
      </c>
      <c r="BQ27" s="69" cm="1">
        <f t="array" ref="BQ27" xml:space="preserve">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0</v>
      </c>
      <c r="BR27" s="69" cm="1">
        <f t="array" ref="BR27" xml:space="preserve">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0</v>
      </c>
      <c r="BS27" s="69" cm="1">
        <f t="array" ref="BS27" xml:space="preserve">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0</v>
      </c>
      <c r="BT27" s="69" cm="1">
        <f t="array" ref="BT27" xml:space="preserve">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0</v>
      </c>
      <c r="BU27" s="69" cm="1">
        <f t="array" ref="BU27" xml:space="preserve">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0</v>
      </c>
      <c r="BV27" s="69" cm="1">
        <f t="array" ref="BV27" xml:space="preserve">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0</v>
      </c>
      <c r="BW27" s="69" cm="1">
        <f t="array" ref="BW27" xml:space="preserve">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0</v>
      </c>
      <c r="BX27" s="69" cm="1">
        <f t="array" ref="BX27" xml:space="preserve">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0</v>
      </c>
      <c r="BY27" s="69" cm="1">
        <f t="array" ref="BY27" xml:space="preserve">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0</v>
      </c>
      <c r="BZ27" s="69" cm="1">
        <f t="array" ref="BZ27" xml:space="preserve">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0</v>
      </c>
      <c r="CA27" s="69" cm="1">
        <f t="array" ref="CA27" xml:space="preserve">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0</v>
      </c>
      <c r="CB27" s="69" cm="1">
        <f t="array" ref="CB27" xml:space="preserve">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0</v>
      </c>
      <c r="CC27" s="69">
        <f t="shared" si="15"/>
        <v>0</v>
      </c>
      <c r="CD27" s="70">
        <f t="shared" si="16"/>
        <v>0</v>
      </c>
      <c r="CE27" s="70">
        <f t="shared" si="17"/>
        <v>0</v>
      </c>
      <c r="CF27" s="70">
        <f t="shared" si="18"/>
        <v>0</v>
      </c>
      <c r="CG27" s="70">
        <f t="shared" si="19"/>
        <v>0</v>
      </c>
      <c r="CH27" s="70">
        <f t="shared" si="30"/>
        <v>0</v>
      </c>
      <c r="CI27" s="70">
        <f t="shared" si="20"/>
        <v>0</v>
      </c>
      <c r="CJ27" s="71">
        <v>0</v>
      </c>
      <c r="CK27" s="70">
        <f t="shared" si="21"/>
        <v>0</v>
      </c>
      <c r="CL27" s="70">
        <f t="shared" si="22"/>
        <v>0</v>
      </c>
      <c r="CM27" s="59"/>
      <c r="CN27" s="59"/>
      <c r="CO27" s="72"/>
      <c r="CP27" s="59"/>
      <c r="CQ27" s="73"/>
      <c r="CR27" s="73"/>
      <c r="CS27" s="73"/>
      <c r="CT27" s="72"/>
      <c r="CU27" s="79" t="s">
        <v>13</v>
      </c>
      <c r="CV27" s="60"/>
      <c r="CW27" s="60"/>
      <c r="CX27" s="60"/>
      <c r="CY27" s="71">
        <f t="shared" si="23"/>
        <v>0</v>
      </c>
      <c r="CZ27" s="71">
        <f t="shared" si="24"/>
        <v>0</v>
      </c>
      <c r="DA27" s="71">
        <f t="shared" si="25"/>
        <v>0</v>
      </c>
      <c r="DB27" s="70">
        <f t="shared" si="26"/>
        <v>0</v>
      </c>
      <c r="DC27" s="74"/>
      <c r="DD27" s="69"/>
      <c r="DE27" s="75">
        <v>0</v>
      </c>
      <c r="DF27" s="74"/>
      <c r="DG27" s="69">
        <f t="shared" si="27"/>
        <v>0</v>
      </c>
      <c r="DH27" s="76" t="s">
        <v>119</v>
      </c>
      <c r="DI27" s="77" cm="1">
        <f t="array" ref="DI27">IFERROR(
IF($ES27="LisChannel",
(ROUND(((INDEX({174.625;153.888888888889;130.972222222222},MATCH($AI27,{2;3;4}),0))*$AG27*$AI27),2)),0),0)</f>
        <v>0</v>
      </c>
      <c r="DJ27" s="77">
        <f t="shared" si="31"/>
        <v>0</v>
      </c>
      <c r="DK27" s="69" t="s">
        <v>93</v>
      </c>
      <c r="DL27" s="63">
        <v>0</v>
      </c>
      <c r="DM27" s="63">
        <v>0</v>
      </c>
      <c r="DN27" s="63">
        <v>0</v>
      </c>
      <c r="DO27" s="63">
        <v>0</v>
      </c>
      <c r="DP27" s="63">
        <v>0</v>
      </c>
      <c r="DQ27" s="63" cm="1">
        <f t="array" ref="DQ27">IFERROR(_xlfn.IFS(
$DK27="послед.",1-(1-$DL27)*(1-$DM27)*(1-$DN27)*(1-$DO27)*(1-$DP27),
$DK27="сумм.",$DL27+$DM27+$DN27+$DO27+$DP27),
0)</f>
        <v>0</v>
      </c>
      <c r="DR27" s="69" cm="1">
        <f t="array" ref="DR27" xml:space="preserve">
IFERROR(
_xlfn.IFS(
$BL27=0,
0,
$BL27&gt;0,
_xlfn.IFS($DK27="послед.",
$DJ27*(1-$DL27)*(1-$DM27)*(1-$DN27)*(1-$DO27)*(1-$DP27),
$DK27="сумм.",
$DJ27*(1-($DL27+$DM27+$DN27+$DO27+$DP27)))),0)</f>
        <v>0</v>
      </c>
      <c r="DS27" s="69" cm="1">
        <f t="array" ref="DS27" xml:space="preserve">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0</v>
      </c>
      <c r="DT27" s="69" cm="1">
        <f t="array" ref="DT27" xml:space="preserve">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0</v>
      </c>
      <c r="DU27" s="69" cm="1">
        <f t="array" ref="DU27" xml:space="preserve">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0</v>
      </c>
      <c r="DV27" s="69" cm="1">
        <f t="array" ref="DV27" xml:space="preserve">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0</v>
      </c>
      <c r="DW27" s="69" cm="1">
        <f t="array" ref="DW27" xml:space="preserve">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0</v>
      </c>
      <c r="DX27" s="69" cm="1">
        <f t="array" ref="DX27" xml:space="preserve">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0</v>
      </c>
      <c r="DY27" s="69" cm="1">
        <f t="array" ref="DY27" xml:space="preserve">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0</v>
      </c>
      <c r="DZ27" s="69" cm="1">
        <f t="array" ref="DZ27" xml:space="preserve">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0</v>
      </c>
      <c r="EA27" s="69" cm="1">
        <f t="array" ref="EA27" xml:space="preserve">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0</v>
      </c>
      <c r="EB27" s="69" cm="1">
        <f t="array" ref="EB27" xml:space="preserve">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0</v>
      </c>
      <c r="EC27" s="69" cm="1">
        <f t="array" ref="EC27" xml:space="preserve">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0</v>
      </c>
      <c r="ED27" s="69" cm="1">
        <f t="array" ref="ED27" xml:space="preserve">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0</v>
      </c>
      <c r="EE27" s="69">
        <f t="shared" si="32"/>
        <v>0</v>
      </c>
      <c r="EF27" s="69">
        <f t="shared" si="29"/>
        <v>0</v>
      </c>
      <c r="EG27" s="74">
        <v>1</v>
      </c>
      <c r="EH27" s="70">
        <v>0</v>
      </c>
      <c r="EI27" s="70">
        <f t="shared" si="33"/>
        <v>0</v>
      </c>
      <c r="EJ27" s="70">
        <f t="shared" si="34"/>
        <v>0</v>
      </c>
      <c r="EK27" s="70">
        <v>0</v>
      </c>
      <c r="EL27" s="70">
        <f t="shared" si="35"/>
        <v>0</v>
      </c>
      <c r="EM27" s="70">
        <f t="shared" si="36"/>
        <v>0</v>
      </c>
      <c r="EN27" s="70">
        <f t="shared" si="37"/>
        <v>0</v>
      </c>
      <c r="EO27" s="70">
        <f t="shared" si="38"/>
        <v>0</v>
      </c>
      <c r="EP27" s="59"/>
      <c r="EQ27" s="59"/>
      <c r="ER27" s="60" t="str" cm="1">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c r="ET27" s="60" t="str" cm="1">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c r="EV27" s="60"/>
      <c r="EW27" t="s">
        <v>13</v>
      </c>
    </row>
  </sheetData>
  <autoFilter ref="A15:EV22" xr:uid="{0F5803C1-91B8-498E-881B-BF22B8F3E951}"/>
  <phoneticPr fontId="3" type="noConversion"/>
  <conditionalFormatting sqref="F8">
    <cfRule type="cellIs" dxfId="32" priority="8394" operator="equal">
      <formula>"выкл"</formula>
    </cfRule>
    <cfRule type="cellIs" dxfId="31" priority="8395" operator="equal">
      <formula>"вкл"</formula>
    </cfRule>
  </conditionalFormatting>
  <conditionalFormatting sqref="EE16:EV27 BN16:BP27 CC16:CT27 CY16:DH27 DK16:DR27 BL16:BL27 A16:AY27">
    <cfRule type="expression" dxfId="30" priority="1181">
      <formula>AND(ROW(A16)=CELL("строка"),$F$8="вкл")</formula>
    </cfRule>
    <cfRule type="containsBlanks" dxfId="29" priority="1194">
      <formula>LEN(TRIM(A16))=0</formula>
    </cfRule>
  </conditionalFormatting>
  <conditionalFormatting sqref="BL16:BL27">
    <cfRule type="cellIs" dxfId="28" priority="1191" operator="greaterThan">
      <formula>0</formula>
    </cfRule>
    <cfRule type="cellIs" dxfId="27" priority="1192" operator="equal">
      <formula>0</formula>
    </cfRule>
  </conditionalFormatting>
  <conditionalFormatting sqref="DB16:DB27">
    <cfRule type="cellIs" dxfId="26" priority="1185" operator="greaterThan">
      <formula>0</formula>
    </cfRule>
    <cfRule type="cellIs" dxfId="25" priority="1186" operator="equal">
      <formula>0</formula>
    </cfRule>
    <cfRule type="cellIs" dxfId="24" priority="1187" operator="lessThan">
      <formula>0</formula>
    </cfRule>
  </conditionalFormatting>
  <conditionalFormatting sqref="AY9 DS9:ED9 BO16:BO27">
    <cfRule type="cellIs" dxfId="23" priority="1184" operator="lessThan">
      <formula>0</formula>
    </cfRule>
  </conditionalFormatting>
  <conditionalFormatting sqref="CY16:DA27">
    <cfRule type="cellIs" dxfId="22" priority="1182" operator="greaterThan">
      <formula>0</formula>
    </cfRule>
    <cfRule type="cellIs" dxfId="21" priority="1183" operator="lessThan">
      <formula>0</formula>
    </cfRule>
    <cfRule type="cellIs" dxfId="20" priority="1193" operator="equal">
      <formula>0</formula>
    </cfRule>
  </conditionalFormatting>
  <conditionalFormatting sqref="EK16:EK27 EH16:EH27">
    <cfRule type="containsText" dxfId="19" priority="1179" operator="containsText" text="под запрос">
      <formula>NOT(ISERROR(SEARCH("под запрос",EH16)))</formula>
    </cfRule>
  </conditionalFormatting>
  <conditionalFormatting sqref="CY16:DB27">
    <cfRule type="expression" dxfId="18" priority="8397">
      <formula>AND(ROW(CV16)=CELL("строка"),$F$8="вкл")</formula>
    </cfRule>
  </conditionalFormatting>
  <conditionalFormatting sqref="BM16:BM27">
    <cfRule type="containsText" dxfId="17" priority="211" operator="containsText" text="пакет">
      <formula>NOT(ISERROR(SEARCH("пакет",BM16)))</formula>
    </cfRule>
    <cfRule type="expression" dxfId="16" priority="212">
      <formula>AND(ROW(BM16)=CELL("строка"),$F$8="вкл")</formula>
    </cfRule>
    <cfRule type="containsBlanks" dxfId="15" priority="213">
      <formula>LEN(TRIM(BM16))=0</formula>
    </cfRule>
  </conditionalFormatting>
  <conditionalFormatting sqref="EU16:EV27 ER16:ER27">
    <cfRule type="containsText" dxfId="14" priority="198" operator="containsText" text="!!!ВАЖНО">
      <formula>NOT(ISERROR(SEARCH("!!!ВАЖНО",ER16)))</formula>
    </cfRule>
  </conditionalFormatting>
  <conditionalFormatting sqref="CV16:CX27">
    <cfRule type="containsText" dxfId="13" priority="199" operator="containsText" text="резерв">
      <formula>NOT(ISERROR(SEARCH("резерв",CV16)))</formula>
    </cfRule>
    <cfRule type="containsText" dxfId="12" priority="200" operator="containsText" text="снят">
      <formula>NOT(ISERROR(SEARCH("снят",CV16)))</formula>
    </cfRule>
    <cfRule type="expression" dxfId="11" priority="201">
      <formula>AND(ROW(CV16)=CELL("строка"),$F$8="вкл")</formula>
    </cfRule>
    <cfRule type="containsBlanks" dxfId="10" priority="202">
      <formula>LEN(TRIM(CV16))=0</formula>
    </cfRule>
  </conditionalFormatting>
  <conditionalFormatting sqref="DI16:DJ27">
    <cfRule type="expression" dxfId="9" priority="9">
      <formula>AND(ROW(DI16)=CELL("строка"),$F$8="вкл")</formula>
    </cfRule>
    <cfRule type="containsBlanks" dxfId="8" priority="10">
      <formula>LEN(TRIM(DI16))=0</formula>
    </cfRule>
  </conditionalFormatting>
  <conditionalFormatting sqref="AZ16:BK27">
    <cfRule type="expression" dxfId="7" priority="5">
      <formula>AND(ROW(AZ16)=CELL("строка"),$F$8="вкл")</formula>
    </cfRule>
    <cfRule type="containsBlanks" dxfId="6" priority="8">
      <formula>LEN(TRIM(AZ16))=0</formula>
    </cfRule>
  </conditionalFormatting>
  <conditionalFormatting sqref="AZ16:BK27">
    <cfRule type="cellIs" dxfId="5" priority="6" operator="greaterThan">
      <formula>0</formula>
    </cfRule>
    <cfRule type="cellIs" dxfId="4" priority="7" operator="equal">
      <formula>0</formula>
    </cfRule>
  </conditionalFormatting>
  <conditionalFormatting sqref="DS16:ED27">
    <cfRule type="expression" dxfId="3" priority="3">
      <formula>AND(ROW(DS16)=CELL("строка"),$F$8="вкл")</formula>
    </cfRule>
    <cfRule type="containsBlanks" dxfId="2" priority="4">
      <formula>LEN(TRIM(DS16))=0</formula>
    </cfRule>
  </conditionalFormatting>
  <conditionalFormatting sqref="BQ16:CB27">
    <cfRule type="expression" dxfId="1" priority="1">
      <formula>AND(ROW(BQ16)=CELL("строка"),$F$8="вкл")</formula>
    </cfRule>
    <cfRule type="containsBlanks" dxfId="0" priority="2">
      <formula>LEN(TRIM(BQ16))=0</formula>
    </cfRule>
  </conditionalFormatting>
  <dataValidations count="3">
    <dataValidation type="list" allowBlank="1" showInputMessage="1" showErrorMessage="1" sqref="F8" xr:uid="{EE669A74-A4BF-4B32-9546-1C5CFE3F5232}">
      <formula1>"ВКЛ,ВЫКЛ"</formula1>
    </dataValidation>
    <dataValidation type="list" allowBlank="1" showInputMessage="1" showErrorMessage="1" sqref="DK16:DK27" xr:uid="{272AD6C8-D70E-40F0-B6D5-830EF1E5703F}">
      <formula1>"сумм.,послед."</formula1>
    </dataValidation>
    <dataValidation type="list" allowBlank="1" showInputMessage="1" showErrorMessage="1" sqref="DH16:DH27" xr:uid="{5B85562C-8569-4F2A-9916-9E2572A03A37}">
      <formula1>"день_1,день_2,раб.день,месяц"</formula1>
    </dataValidation>
  </dataValidation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СВОД</vt:lpstr>
      <vt:lpstr>МП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Никита Филиппов</dc:creator>
  <cp:lastModifiedBy>Дмитрий Плахотный</cp:lastModifiedBy>
  <dcterms:created xsi:type="dcterms:W3CDTF">2015-06-05T18:17:20Z</dcterms:created>
  <dcterms:modified xsi:type="dcterms:W3CDTF">2025-07-14T07:35:47Z</dcterms:modified>
</cp:coreProperties>
</file>